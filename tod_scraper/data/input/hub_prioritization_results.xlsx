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had\Downloads\"/>
    </mc:Choice>
  </mc:AlternateContent>
  <xr:revisionPtr revIDLastSave="0" documentId="13_ncr:1_{C9ED03E6-7380-4229-8A55-1CABD80DE759}" xr6:coauthVersionLast="47" xr6:coauthVersionMax="47" xr10:uidLastSave="{00000000-0000-0000-0000-000000000000}"/>
  <bookViews>
    <workbookView xWindow="28680" yWindow="-120" windowWidth="29040" windowHeight="15720" xr2:uid="{59BE53B5-519D-4E30-A326-AF7F9A278C12}"/>
  </bookViews>
  <sheets>
    <sheet name="hubs_final_results_20260618_114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R3" i="1" l="1"/>
  <c r="BR4" i="1"/>
  <c r="BR5" i="1"/>
  <c r="BR6" i="1"/>
  <c r="BR7" i="1"/>
  <c r="BR130" i="1"/>
  <c r="BR9" i="1"/>
  <c r="BR10" i="1"/>
  <c r="BR11" i="1"/>
  <c r="BR12" i="1"/>
  <c r="BR13" i="1"/>
  <c r="BR14" i="1"/>
  <c r="BR15" i="1"/>
  <c r="BR16" i="1"/>
  <c r="BR17" i="1"/>
  <c r="BR18" i="1"/>
  <c r="BR19" i="1"/>
  <c r="BR20" i="1"/>
  <c r="BR21" i="1"/>
  <c r="BR22" i="1"/>
  <c r="BR23" i="1"/>
  <c r="BR24" i="1"/>
  <c r="BR25" i="1"/>
  <c r="BR26" i="1"/>
  <c r="BR27" i="1"/>
  <c r="BR28" i="1"/>
  <c r="BR29" i="1"/>
  <c r="BR30" i="1"/>
  <c r="BR31" i="1"/>
  <c r="BR32" i="1"/>
  <c r="BR33" i="1"/>
  <c r="BR143" i="1"/>
  <c r="BR35" i="1"/>
  <c r="BR36" i="1"/>
  <c r="BR37" i="1"/>
  <c r="BR38" i="1"/>
  <c r="BR39" i="1"/>
  <c r="BR40" i="1"/>
  <c r="BR34" i="1"/>
  <c r="BR42" i="1"/>
  <c r="BR43" i="1"/>
  <c r="BR44" i="1"/>
  <c r="BR45" i="1"/>
  <c r="BR46" i="1"/>
  <c r="BR47" i="1"/>
  <c r="BR48" i="1"/>
  <c r="BR49" i="1"/>
  <c r="BR50" i="1"/>
  <c r="BR51" i="1"/>
  <c r="BR52" i="1"/>
  <c r="BR53" i="1"/>
  <c r="BR54" i="1"/>
  <c r="BR55" i="1"/>
  <c r="BR56" i="1"/>
  <c r="BR57" i="1"/>
  <c r="BR58" i="1"/>
  <c r="BR59" i="1"/>
  <c r="BR60" i="1"/>
  <c r="BR61" i="1"/>
  <c r="BR62" i="1"/>
  <c r="BR63" i="1"/>
  <c r="BR64" i="1"/>
  <c r="BR65" i="1"/>
  <c r="BR8" i="1"/>
  <c r="BR67" i="1"/>
  <c r="BR68" i="1"/>
  <c r="BR69" i="1"/>
  <c r="BR70" i="1"/>
  <c r="BR71" i="1"/>
  <c r="BR72" i="1"/>
  <c r="BR73" i="1"/>
  <c r="BR140" i="1"/>
  <c r="BR75" i="1"/>
  <c r="BR76" i="1"/>
  <c r="BR77" i="1"/>
  <c r="BR97" i="1"/>
  <c r="BR79" i="1"/>
  <c r="BR80" i="1"/>
  <c r="BR81" i="1"/>
  <c r="BR82" i="1"/>
  <c r="BR83" i="1"/>
  <c r="BR84" i="1"/>
  <c r="BR85" i="1"/>
  <c r="BR86" i="1"/>
  <c r="BR87" i="1"/>
  <c r="BR88" i="1"/>
  <c r="BR136" i="1"/>
  <c r="BR90" i="1"/>
  <c r="BR91" i="1"/>
  <c r="BR92" i="1"/>
  <c r="BR93" i="1"/>
  <c r="BR94" i="1"/>
  <c r="BR95" i="1"/>
  <c r="BR96" i="1"/>
  <c r="BR139" i="1"/>
  <c r="BR98" i="1"/>
  <c r="BR99" i="1"/>
  <c r="BR100" i="1"/>
  <c r="BR101" i="1"/>
  <c r="BR102" i="1"/>
  <c r="BR103" i="1"/>
  <c r="BR104" i="1"/>
  <c r="BR105" i="1"/>
  <c r="BR106" i="1"/>
  <c r="BR135" i="1"/>
  <c r="BR108" i="1"/>
  <c r="BR109" i="1"/>
  <c r="BR110" i="1"/>
  <c r="BR111" i="1"/>
  <c r="BR112" i="1"/>
  <c r="BR113" i="1"/>
  <c r="BR114" i="1"/>
  <c r="BR115" i="1"/>
  <c r="BR116" i="1"/>
  <c r="BR117" i="1"/>
  <c r="BR118" i="1"/>
  <c r="BR119" i="1"/>
  <c r="BR141" i="1"/>
  <c r="BR121" i="1"/>
  <c r="BR122" i="1"/>
  <c r="BR123" i="1"/>
  <c r="BR124" i="1"/>
  <c r="BR133" i="1"/>
  <c r="BR125" i="1"/>
  <c r="BR127" i="1"/>
  <c r="BR128" i="1"/>
  <c r="BR129" i="1"/>
  <c r="BR74" i="1"/>
  <c r="BR131" i="1"/>
  <c r="BR132" i="1"/>
  <c r="BR78" i="1"/>
  <c r="BR134" i="1"/>
  <c r="BR120" i="1"/>
  <c r="BR66" i="1"/>
  <c r="BR137" i="1"/>
  <c r="BR138" i="1"/>
  <c r="BR126" i="1"/>
  <c r="BR89" i="1"/>
  <c r="BR107" i="1"/>
  <c r="BR142" i="1"/>
  <c r="BR41" i="1"/>
  <c r="BR2" i="1"/>
  <c r="BQ3" i="1"/>
  <c r="BQ4" i="1"/>
  <c r="BQ5" i="1"/>
  <c r="BQ6" i="1"/>
  <c r="BQ7" i="1"/>
  <c r="BQ130" i="1"/>
  <c r="BQ9" i="1"/>
  <c r="BQ10" i="1"/>
  <c r="BQ11" i="1"/>
  <c r="BQ12" i="1"/>
  <c r="BQ13" i="1"/>
  <c r="BQ14" i="1"/>
  <c r="BQ15" i="1"/>
  <c r="BQ16" i="1"/>
  <c r="BQ17" i="1"/>
  <c r="BQ18" i="1"/>
  <c r="BQ19" i="1"/>
  <c r="BQ20" i="1"/>
  <c r="BQ21" i="1"/>
  <c r="BQ22" i="1"/>
  <c r="BQ23" i="1"/>
  <c r="BQ24" i="1"/>
  <c r="BQ25" i="1"/>
  <c r="BQ26" i="1"/>
  <c r="BQ27" i="1"/>
  <c r="BQ28" i="1"/>
  <c r="BQ29" i="1"/>
  <c r="BQ30" i="1"/>
  <c r="BQ31" i="1"/>
  <c r="BQ32" i="1"/>
  <c r="BQ33" i="1"/>
  <c r="BQ143" i="1"/>
  <c r="BQ35" i="1"/>
  <c r="BQ36" i="1"/>
  <c r="BQ37" i="1"/>
  <c r="BQ38" i="1"/>
  <c r="BQ39" i="1"/>
  <c r="BQ40" i="1"/>
  <c r="BQ34" i="1"/>
  <c r="BQ42" i="1"/>
  <c r="BQ43" i="1"/>
  <c r="BQ44" i="1"/>
  <c r="BQ45" i="1"/>
  <c r="BQ46" i="1"/>
  <c r="BQ47" i="1"/>
  <c r="BQ48" i="1"/>
  <c r="BQ49" i="1"/>
  <c r="BQ50" i="1"/>
  <c r="BQ51" i="1"/>
  <c r="BQ52" i="1"/>
  <c r="BQ53" i="1"/>
  <c r="BQ54" i="1"/>
  <c r="BQ55" i="1"/>
  <c r="BQ56" i="1"/>
  <c r="BQ57" i="1"/>
  <c r="BQ58" i="1"/>
  <c r="BQ59" i="1"/>
  <c r="BQ60" i="1"/>
  <c r="BQ61" i="1"/>
  <c r="BQ62" i="1"/>
  <c r="BQ63" i="1"/>
  <c r="BQ64" i="1"/>
  <c r="BQ65" i="1"/>
  <c r="BQ8" i="1"/>
  <c r="BQ67" i="1"/>
  <c r="BQ68" i="1"/>
  <c r="BQ69" i="1"/>
  <c r="BQ70" i="1"/>
  <c r="BQ71" i="1"/>
  <c r="BQ72" i="1"/>
  <c r="BQ73" i="1"/>
  <c r="BQ140" i="1"/>
  <c r="BQ75" i="1"/>
  <c r="BQ76" i="1"/>
  <c r="BQ77" i="1"/>
  <c r="BQ97" i="1"/>
  <c r="BQ79" i="1"/>
  <c r="BQ80" i="1"/>
  <c r="BQ81" i="1"/>
  <c r="BQ82" i="1"/>
  <c r="BQ83" i="1"/>
  <c r="BQ84" i="1"/>
  <c r="BQ85" i="1"/>
  <c r="BQ86" i="1"/>
  <c r="BQ87" i="1"/>
  <c r="BQ88" i="1"/>
  <c r="BQ136" i="1"/>
  <c r="BQ90" i="1"/>
  <c r="BQ91" i="1"/>
  <c r="BQ92" i="1"/>
  <c r="BQ93" i="1"/>
  <c r="BQ94" i="1"/>
  <c r="BQ95" i="1"/>
  <c r="BQ96" i="1"/>
  <c r="BQ139" i="1"/>
  <c r="BQ98" i="1"/>
  <c r="BQ99" i="1"/>
  <c r="BQ100" i="1"/>
  <c r="BQ101" i="1"/>
  <c r="BQ102" i="1"/>
  <c r="BQ103" i="1"/>
  <c r="BQ104" i="1"/>
  <c r="BQ105" i="1"/>
  <c r="BQ106" i="1"/>
  <c r="BQ135" i="1"/>
  <c r="BQ108" i="1"/>
  <c r="BQ109" i="1"/>
  <c r="BQ110" i="1"/>
  <c r="BQ111" i="1"/>
  <c r="BQ112" i="1"/>
  <c r="BQ113" i="1"/>
  <c r="BQ114" i="1"/>
  <c r="BQ115" i="1"/>
  <c r="BQ116" i="1"/>
  <c r="BQ117" i="1"/>
  <c r="BQ118" i="1"/>
  <c r="BQ119" i="1"/>
  <c r="BQ141" i="1"/>
  <c r="BQ121" i="1"/>
  <c r="BQ122" i="1"/>
  <c r="BQ123" i="1"/>
  <c r="BQ124" i="1"/>
  <c r="BQ133" i="1"/>
  <c r="BQ125" i="1"/>
  <c r="BQ127" i="1"/>
  <c r="BQ128" i="1"/>
  <c r="BQ129" i="1"/>
  <c r="BQ74" i="1"/>
  <c r="BQ131" i="1"/>
  <c r="BQ132" i="1"/>
  <c r="BQ78" i="1"/>
  <c r="BQ134" i="1"/>
  <c r="BQ120" i="1"/>
  <c r="BQ66" i="1"/>
  <c r="BQ137" i="1"/>
  <c r="BQ138" i="1"/>
  <c r="BQ126" i="1"/>
  <c r="BQ89" i="1"/>
  <c r="BQ107" i="1"/>
  <c r="BQ142" i="1"/>
  <c r="BQ41" i="1"/>
  <c r="BQ2" i="1"/>
</calcChain>
</file>

<file path=xl/sharedStrings.xml><?xml version="1.0" encoding="utf-8"?>
<sst xmlns="http://schemas.openxmlformats.org/spreadsheetml/2006/main" count="2058" uniqueCount="807">
  <si>
    <t>group</t>
  </si>
  <si>
    <t>x</t>
  </si>
  <si>
    <t>y</t>
  </si>
  <si>
    <t>h3_index</t>
  </si>
  <si>
    <t>node</t>
  </si>
  <si>
    <t>Mode_Planned</t>
  </si>
  <si>
    <t>Modes_ForPlot</t>
  </si>
  <si>
    <t>Line_Unique</t>
  </si>
  <si>
    <t>Line_Names</t>
  </si>
  <si>
    <t>address</t>
  </si>
  <si>
    <t>area</t>
  </si>
  <si>
    <t>Metro</t>
  </si>
  <si>
    <t>location</t>
  </si>
  <si>
    <t>LocationForChart</t>
  </si>
  <si>
    <t>TotalDemand</t>
  </si>
  <si>
    <t>TotalTransfers</t>
  </si>
  <si>
    <t>TransferRate</t>
  </si>
  <si>
    <t>BRT Lines</t>
  </si>
  <si>
    <t>Cable Line Lines</t>
  </si>
  <si>
    <t>Funicular Lines</t>
  </si>
  <si>
    <t>HighSpeed Rail Lines</t>
  </si>
  <si>
    <t>Interurban Rail Lines</t>
  </si>
  <si>
    <t>LRT Lines</t>
  </si>
  <si>
    <t>Metro Lines</t>
  </si>
  <si>
    <t>Suburban Rail Lines</t>
  </si>
  <si>
    <t>pop_0_500</t>
  </si>
  <si>
    <t>emp_0_500</t>
  </si>
  <si>
    <t>pop_500_1000</t>
  </si>
  <si>
    <t>emp_500_1000</t>
  </si>
  <si>
    <t>pop_1000_1500</t>
  </si>
  <si>
    <t>emp_1000_1500</t>
  </si>
  <si>
    <t>TotalPop_2050</t>
  </si>
  <si>
    <t>TotalEmp_2050</t>
  </si>
  <si>
    <t>Region_category</t>
  </si>
  <si>
    <t>Location_category</t>
  </si>
  <si>
    <t>RegionLocation</t>
  </si>
  <si>
    <t>Num_Modes</t>
  </si>
  <si>
    <t>score</t>
  </si>
  <si>
    <t>bus_terminal</t>
  </si>
  <si>
    <t>HubType</t>
  </si>
  <si>
    <t>HubType_Filtered</t>
  </si>
  <si>
    <t>HubTypeHE</t>
  </si>
  <si>
    <t>BusTERMINAL_Clone</t>
  </si>
  <si>
    <t>RegionLocation_Norm</t>
  </si>
  <si>
    <t>score_Norm</t>
  </si>
  <si>
    <t>bus_terminal_Norm</t>
  </si>
  <si>
    <t>TotalDemand_Norm</t>
  </si>
  <si>
    <t>PopEmp_Score_Norm</t>
  </si>
  <si>
    <t>TotalScore_MC</t>
  </si>
  <si>
    <t>Rank_TS_MC</t>
  </si>
  <si>
    <t>Rank_By_TS_MC_By_Metro</t>
  </si>
  <si>
    <t>TotalNumLines</t>
  </si>
  <si>
    <t>NumLinesStatus_0</t>
  </si>
  <si>
    <t>NumLinesStatus_1</t>
  </si>
  <si>
    <t>NumLinesStatus_2</t>
  </si>
  <si>
    <t>NumLinesStatus_3</t>
  </si>
  <si>
    <t>NumLinesStatus_4</t>
  </si>
  <si>
    <t>NumLinesStatus_5</t>
  </si>
  <si>
    <t>NumLinesStatus_6</t>
  </si>
  <si>
    <t>NumLinesStatus_7</t>
  </si>
  <si>
    <t>TotalLinesAllStatuses</t>
  </si>
  <si>
    <t>Line_Nunique</t>
  </si>
  <si>
    <t>Average_Simulated_Score</t>
  </si>
  <si>
    <t>Overall_Rank</t>
  </si>
  <si>
    <t>Rank_within_HubType</t>
  </si>
  <si>
    <t>LogDemand</t>
  </si>
  <si>
    <t>PopEmp_Score</t>
  </si>
  <si>
    <t>HubNameHE</t>
  </si>
  <si>
    <t>8a2db0ccec5ffff</t>
  </si>
  <si>
    <t>[400080, 513001, 521024, 511012]</t>
  </si>
  <si>
    <t>['Metro', 'HighSpeed Rail', 'Interurban Rail', 'Suburban Rail', 'LRT']</t>
  </si>
  <si>
    <t>מטרו, רכבת מהירה, רכבת בינעירונית, רכבת פרברית, רק"ל</t>
  </si>
  <si>
    <t>["['Mgt1-E', 'Mgt2-E']", "['M1-RA-RE', 'M1-RE-RA', 'M1-KS-LOD', 'M1-LOD-KS']", "['rail_4_2', 'rail_4_1', 'rail_16_2', 'rail_10_2', 'rail_20_2', 'rail_2_1', 'rail_1_2', 'rail_1_1', 'rail_11_2', 'rail_3_2', 'rail_16_1', 'rail_14_1', 'rail_9_1', 'rail_10_1', 'rail_17_1', 'rail_8_2', 'rail_14_2', 'rail_2_2', 'rail_5_1', 'rail_5_2', 'rail_11_1', 'rail_20_1', 'rail_12_1', 'rail_17_2', 'rail_3_1', 'rail_8_1', 'rail_9_2', 'rail_12_2']", "['Red2-S', 'Red-N', 'Red2-N', 'Shut-S', 'Red-S', 'Shut-N']"]</t>
  </si>
  <si>
    <t>['בר אילן-סבידור (רק"ל)', 'יהוד-סבידור (רק"ל)', 'M1-RA-RE', 'M1-RE-RA', 'M1-KS-LOD', 'M1-LOD-KS', 'באר שבע-עכו (רכבת בינעירונית)', 'עכו-באר שבע (רכבת בינעירונית)', 'בית שמש-הרצליה (רכבת פרברית)', 'הרצליה-בית שאן (רכבת פרברית)', 'באר שבע-מודיעין (רכבת פרברית)', 'נהריה-אילת (רכבת מהירה)', 'מודיעין-קרית שמונה (רכבת בינעירונית)', 'קרית שמונה-מודיעין (רכבת בינעירונית)', 'שוקת-זיכרון יעקב (רכבת פרברית)', 'באר שבע-נהריה (רכבת בינעירונית)', 'הרצליה-בית שמש (רכבת פרברית)', 'נתניה-ירושלים (רכבת פרברית)', 'חיפה-באר שבע (רכבת מהירה)', 'בית שאן-הרצליה (רכבת פרברית)', 'ראש העין-באר שבע (רכבת פרברית)', 'ירושלים-חיפה (רכבת מהירה)', 'ירושלים-נתניה (רכבת פרברית)', 'אילת-נהריה (רכבת מהירה)', 'כרמיאל-אשקלון (רכבת בינעירונית)', 'אשקלון-כרמיאל (רכבת בינעירונית)', 'זיכרון יעקב-שוקת (רכבת פרברית)', 'מודיעין-באר שבע (רכבת פרברית)', 'זיכרון יעקב-אשקלון (רכבת פרברית)', 'באר שבע-ראש העין (רכבת פרברית)', 'נהריה-באר שבע (רכבת בינעירונית)', 'חיפה-ירושלים (רכבת מהירה)', 'באר שבע-חיפה (רכבת מהירה)', 'אשקלון-זיכרון יעקב (רכבת פרברית)', 'פ"ת (קרית אריה)-ראשל"צ (רק"ל)', 'ראשל"צ-פ"ת (רק"ל)', 'ראשל"צ-פ"ת (קרית אריה) (רק"ל)', 'פ"ת-ת"א (רק"ל)', 'פ"ת-ראשל"צ (רק"ל)', 'ת"א-פ"ת (רק"ל)']</t>
  </si>
  <si>
    <t>Not geocoded</t>
  </si>
  <si>
    <t>תל אביב</t>
  </si>
  <si>
    <t>['גלעין']</t>
  </si>
  <si>
    <t>גלעין</t>
  </si>
  <si>
    <t>ארצי</t>
  </si>
  <si>
    <t>תחנת רכבת סבידור מרכז</t>
  </si>
  <si>
    <t>8a2db04d60e7fff</t>
  </si>
  <si>
    <t>[51182, 50202, 51022, 51103]</t>
  </si>
  <si>
    <t>['HighSpeed Rail', 'Interurban Rail', 'Suburban Rail', 'LRT']</t>
  </si>
  <si>
    <t>רכבת מהירה, רכבת בינעירונית, רכבת פרברית, רק"ל</t>
  </si>
  <si>
    <t>["['rail_18_2', 'rail_13_1', 'rail_14_1', 'rail_13_2', 'rail_14_2', 'rail_8_2', 'rail_21_1', 'rail_8_1', 'rail_21_2', 'rail_18_1']", "['LRT32', 'LRT42', 'LRT41', 'LRT31']", "['LRT51', 'LRT42', 'LRT41', 'LRT22', 'LRT52', 'LRT21', 'LRT11', 'LRT12']"]</t>
  </si>
  <si>
    <t>['ירושלים-מודיעין (רכבת פרברית)', 'חריש-ירושלים (רכבת פרברית)', 'נתניה-ירושלים (רכבת פרברית)', 'ירושלים-חריש (רכבת פרברית)', 'ירושלים-נתניה (רכבת פרברית)', 'ירושלים-חיפה (רכבת מהירה)', 'ירושלים-באר שבע (רכבת בינעירונית)', 'חיפה-ירושלים (רכבת מהירה)', 'באר שבע-ירושלים (רכבת בינעירונית)', 'מודיעין-ירושלים (רכבת פרברית)', 'ירוק מקווקוו 1 כיוון 2 (רק"ל)', 'ירוק מקווקוו 2 כיוון 2 (רק"ל)', 'ירוק מקווקוו 2 כיוון 1 (רק"ל)', 'ירוק מקווקוו 1 כיוון 1 (רק"ל)', 'LRT51', 'אדום מקווקו כיוון 2 (רק"ל)', 'LRT52', 'אדום מקווקו כיוון 1 (רק"ל)', 'אדום כיוון 1 (רק"ל)', 'אדום כיוון 2 (רק"ל)']</t>
  </si>
  <si>
    <t>ירושלים</t>
  </si>
  <si>
    <t>תחנת רכבת ירושלים-יצחק נבון</t>
  </si>
  <si>
    <t>8a2db0a0879ffff</t>
  </si>
  <si>
    <t>[32001, 34000, 31508, 1017, 31609]</t>
  </si>
  <si>
    <t>['LRT', 'Suburban Rail', 'Cable Line', 'BRT', 'HighSpeed Rail', 'Interurban Rail']</t>
  </si>
  <si>
    <t>רק"ל, רכבת פרברית, Cable Line, BRT, רכבת מהירה, רכבת בינעירונית</t>
  </si>
  <si>
    <t>["['c001']", "['rail_4_2', 'rail_4_1', 'rail_1_1', 'rail_5_2', 'rail_5_1', 'rail_9_1', 'rail_3_1', 'rail_2_1', 'rail_1_2', 'rail_8_2', 'rail_2_2', 'rail_8_1', 'rail_9_2', 'rail_3_2']", "['rail_7_1', 'rail_7_2', 'rail_10_2', 'rail_10_1']", "['R322-2', 'R321-2', 'R323-1', 'R321-1', 'R322-1', 'R323-2', 'R329-2', 'R331-2', 'R331-1', 'R329-1']", "['lrt03', 'lrt04', 'lrt02', 'lrt08', 'lrt07']"]</t>
  </si>
  <si>
    <t>['לב המפרץ-אוניברסיטת חיפה (רכבל)', 'באר שבע-עכו (רכבת בינעירונית)', 'עכו-באר שבע (רכבת בינעירונית)', 'קרית שמונה-מודיעין (רכבת בינעירונית)', 'אשקלון-כרמיאל (רכבת בינעירונית)', 'כרמיאל-אשקלון (רכבת בינעירונית)', 'חיפה-באר שבע (רכבת מהירה)', 'נהריה-באר שבע (רכבת בינעירונית)', 'נהריה-אילת (רכבת מהירה)', 'מודיעין-קרית שמונה (רכבת בינעירונית)', 'ירושלים-חיפה (רכבת מהירה)', 'אילת-נהריה (רכבת מהירה)', 'חיפה-ירושלים (רכבת מהירה)', 'באר שבע-חיפה (רכבת מהירה)', 'באר שבע-נהריה (רכבת בינעירונית)', 'טבריה-עתלית (רכבת פרברית)', 'עתלית-טבריה (רכבת פרברית)', 'הרצליה-בית שאן (רכבת פרברית)', 'בית שאן-הרצליה (רכבת פרברית)', 'מרכזית חוף הכרמל-מרכזית הקריות (דרך המנהרות) (BRT)', 'בת גלים - מרכזית הקריות (BRT)', 'מרכזית הקריות-הדר (דרך קרית ים) (BRT)', 'מרכזית הקריות - בת גלים (BRT)', 'מרכזית הקריות-מרכזית חוף הכרמל (דרך המנהרות) (BRT)', 'הדר-מרכזית הקריות (דרך קרית ים) (BRT)', 'מרכזית המפרץ-עכו (BRT)', 'מרכז הכרמל-גילעם (דרך המנהרות) (BRT)', 'גילעם-מרכז הכרמל (דרך המנהרות) (BRT)', 'עכו-מרכזית המפרץ (BRT)', 'נצרת-חוף הכרמל (רק"ל)', 'חוף הכרמל-נצרת (רק"ל)', 'מרכזית המפרץ-נצרת (רק"ל)', 'חוף הכרמל-מרכזית הקריות (דרך 22) (רק"ל)', 'מרכזית הקריות-חוף הכרמל (דרך 22) (רק"ל)']</t>
  </si>
  <si>
    <t>חיפה</t>
  </si>
  <si>
    <t>מרכזית המפרץ</t>
  </si>
  <si>
    <t>8a2db66ee077fff</t>
  </si>
  <si>
    <t>[463642, 467211]</t>
  </si>
  <si>
    <t>['Interurban Rail', 'Suburban Rail', 'LRT']</t>
  </si>
  <si>
    <t>רכבת בינעירונית, רכבת פרברית, רק"ל</t>
  </si>
  <si>
    <t>["['rail_4_2', 'rail_20_1', 'rail_23_2', 'rail_4_1', 'rail_20_2', 'rail_23_1', 'rail_17_2', 'rail_22_1', 'rail_3_1', 'rail_17_1', 'rail_21_2', 'rail_22_2', 'rail_21_1', 'rail_3_2']", "['4.3_Ofakim-TelSheva', '4.2_LRT_BRS-Shoket', '4.2_LRT_Shoket-BRS', '4.3_TelSheva-Ofakim']"]</t>
  </si>
  <si>
    <t>['באר שבע-עכו (רכבת בינעירונית)', 'מודיעין-באר שבע (רכבת פרברית)', 'ירוחם-באר שבע (רכבת פרברית)', 'עכו-באר שבע (רכבת בינעירונית)', 'באר שבע-מודיעין (רכבת פרברית)', 'באר  שבע-ירוחם (רכבת פרברית)', 'באר שבע-ראש העין (רכבת פרברית)', 'באר שבע-ערד (רכבת פרברית)', 'נהריה-באר שבע (רכבת בינעירונית)', 'ראש העין-באר שבע (רכבת פרברית)', 'באר שבע-ירושלים (רכבת בינעירונית)', 'ערד-באר שבע (רכבת פרברית)', 'ירושלים-באר שבע (רכבת בינעירונית)', 'באר שבע-נהריה (רכבת בינעירונית)', 'אופקים-תל שבע (רק"ל)', 'צומת שוקת-מרכז רפואי באר שבע (רק"ל)', 'מרכז רפואי באר שבע-צומת שוקת (רק"ל)', 'תל שבע-אופקים (רק"ל)']</t>
  </si>
  <si>
    <t>באר שבע</t>
  </si>
  <si>
    <t>מטרופוליני</t>
  </si>
  <si>
    <t>תחנת רכבת באר שבע מרכז</t>
  </si>
  <si>
    <t>8a2db0a2b807fff</t>
  </si>
  <si>
    <t>[1024, 34085, 31605]</t>
  </si>
  <si>
    <t>['BRT', 'Interurban Rail', 'Suburban Rail', 'LRT']</t>
  </si>
  <si>
    <t>BRT, רכבת בינעירונית, רכבת פרברית, רק"ל</t>
  </si>
  <si>
    <t>["['R325-1', 'R321-2', 'R330-2', 'R330-1', 'R321-1', 'R325-2']", "['rail_4_2', 'rail_4_1', 'rail_5_2', 'lrt03', 'rail_6_1', 'rail_10_2', 'lrt08', 'rail_6_2', 'rail_7_1', 'rail_3_1', 'rail_10_1', 'rail_1_2', 'rail_1_1', 'lrt04', 'rail_7_2', 'rail_5_1', 'rail_3_2', 'lrt07']"]</t>
  </si>
  <si>
    <t>['הטכניון-בת גלים (דרך העצמאות) (BRT)', 'בת גלים - מרכזית הקריות (BRT)', 'בת גלים-יגור/רכסים (BRT)', 'יגור/רכסים-בת גלים (BRT)', 'מרכזית הקריות - בת גלים (BRT)', 'בת גלים-הטכניון (דרך העצמאות) (BRT)', 'באר שבע-עכו (רכבת בינעירונית)', 'עכו-באר שבע (רכבת בינעירונית)', 'אשקלון-כרמיאל (רכבת בינעירונית)', 'נצרת-חוף הכרמל (רק"ל)', 'כרמיאל-חיפה (רכבת פרברית)', 'הרצליה-בית שאן (רכבת פרברית)', 'חוף הכרמל-מרכזית הקריות (דרך 22) (רק"ל)', 'חיפה-כרמיאל (רכבת פרברית)', 'טבריה-עתלית (רכבת פרברית)', 'נהריה-באר שבע (רכבת בינעירונית)', 'בית שאן-הרצליה (רכבת פרברית)', 'מודיעין-קרית שמונה (רכבת בינעירונית)', 'קרית שמונה-מודיעין (רכבת בינעירונית)', 'חוף הכרמל-נצרת (רק"ל)', 'עתלית-טבריה (רכבת פרברית)', 'כרמיאל-אשקלון (רכבת בינעירונית)', 'באר שבע-נהריה (רכבת בינעירונית)', 'מרכזית הקריות-חוף הכרמל (דרך 22) (רק"ל)']</t>
  </si>
  <si>
    <t>תחנת רכבת בת גלים</t>
  </si>
  <si>
    <t>8a2db0a0514ffff</t>
  </si>
  <si>
    <t>[34089, 31603, 1030]</t>
  </si>
  <si>
    <t>['BRT', 'HighSpeed Rail', 'Interurban Rail', 'Suburban Rail', 'LRT']</t>
  </si>
  <si>
    <t>BRT, רכבת מהירה, רכבת בינעירונית, רכבת פרברית, רק"ל</t>
  </si>
  <si>
    <t>["['R322-2', 'rail_4_2', 'rail_4_1', 'rail_6_1', 'rail_10_2', 'rail_6_2', 'R324-1', 'rail_2_1', 'rail_1_2', 'rail_1_1', 'rail_3_2', 'rail_9_1', 'rail_10_1', 'rail_8_2', 'lrt04', 'rail_2_2', 'rail_5_1', 'rail_5_2', 'R322-1', 'rail_7_1', 'rail_3_1', 'R324-2', 'rail_7_2', 'rail_8_1', 'rail_9_2', 'lrt08']"]</t>
  </si>
  <si>
    <t>['מרכזית חוף הכרמל-מרכזית הקריות (דרך המנהרות) (BRT)', 'באר שבע-עכו (רכבת בינעירונית)', 'עכו-באר שבע (רכבת בינעירונית)', 'כרמיאל-חיפה (רכבת פרברית)', 'הרצליה-בית שאן (רכבת פרברית)', 'חיפה-כרמיאל (רכבת פרברית)', 'מרכזית המפרץ-מרכזית חוף הכרמל (דרך חורב) (BRT)', 'נהריה-אילת (רכבת מהירה)', 'מודיעין-קרית שמונה (רכבת בינעירונית)', 'קרית שמונה-מודיעין (רכבת בינעירונית)', 'באר שבע-נהריה (רכבת בינעירונית)', 'חיפה-באר שבע (רכבת מהירה)', 'בית שאן-הרצליה (רכבת פרברית)', 'ירושלים-חיפה (רכבת מהירה)', 'חוף הכרמל-נצרת (רק"ל)', 'אילת-נהריה (רכבת מהירה)', 'כרמיאל-אשקלון (רכבת בינעירונית)', 'אשקלון-כרמיאל (רכבת בינעירונית)', 'מרכזית הקריות-מרכזית חוף הכרמל (דרך המנהרות) (BRT)', 'טבריה-עתלית (רכבת פרברית)', 'נהריה-באר שבע (רכבת בינעירונית)', 'מרכזית חוף הכרמל-מרכזית המפרץ (דרך חורב) (BRT)', 'עתלית-טבריה (רכבת פרברית)', 'חיפה-ירושלים (רכבת מהירה)', 'באר שבע-חיפה (רכבת מהירה)', 'חוף הכרמל-מרכזית הקריות (דרך 22) (רק"ל)']</t>
  </si>
  <si>
    <t>מרכזית חוף הכרמל</t>
  </si>
  <si>
    <t>8a2db2b2190ffff</t>
  </si>
  <si>
    <t>[51152, 51232, 50111]</t>
  </si>
  <si>
    <t>['LRT', 'Suburban Rail']</t>
  </si>
  <si>
    <t>רק"ל, רכבת פרברית</t>
  </si>
  <si>
    <t>["['LRT72', 'LRT71', 'LRT62', 'LRT61']", "['rail_18_2', 'rail_13_1', 'rail_14_1', 'rail_13_2', 'rail_18_1', 'rail_14_2']"]</t>
  </si>
  <si>
    <t>['תכלת כיוון 2 (רק"ל)', 'תכלת כיוון 1 (רק"ל)', 'כחול כיוון 2 (רק"ל)', 'כחול כיוון 1 (רק"ל)', 'ירושלים-מודיעין (רכבת פרברית)', 'חריש-ירושלים (רכבת פרברית)', 'נתניה-ירושלים (רכבת פרברית)', 'ירושלים-חריש (רכבת פרברית)', 'מודיעין-ירושלים (רכבת פרברית)', 'ירושלים-נתניה (רכבת פרברית)']</t>
  </si>
  <si>
    <t>8a2db011b2b7fff</t>
  </si>
  <si>
    <t>[511163]</t>
  </si>
  <si>
    <t>['BRT', 'LRT']</t>
  </si>
  <si>
    <t>BRT, רק"ל</t>
  </si>
  <si>
    <t>["['LRT141', 'LRT-L1']"]</t>
  </si>
  <si>
    <t>['נתניה-כפ"ס דרך טייבה/קלאנסווה (BRT)', 'נתניה-אשדוד (רק"ל)']</t>
  </si>
  <si>
    <t>['טבעת חיצונית']</t>
  </si>
  <si>
    <t>טבעת</t>
  </si>
  <si>
    <t>Not Hub</t>
  </si>
  <si>
    <t>צומת השרון</t>
  </si>
  <si>
    <t>8a2db0a552a7fff</t>
  </si>
  <si>
    <t>[34051, 1006]</t>
  </si>
  <si>
    <t>["['R322-2', 'R1001-2', 'R323-1', 'R1002-1', 'R321-2', 'R1001-1', 'R1002-2', 'R321-1', 'R322-1', 'R1003-2', 'R1003-1', 'R323-2']", "['lrt07']"]</t>
  </si>
  <si>
    <t>['מרכזית חוף הכרמל-מרכזית הקריות (דרך המנהרות) (BRT)', 'מרכזית הקריות-גילעם (דרך הקריון) (BRT)', 'מרכזית הקריות-הדר (דרך קרית ים) (BRT)', 'גילעם-מרכזית הקריות (דרך בן גוריון) (BRT)', 'בת גלים - מרכזית הקריות (BRT)', 'גילעם-מרכזית הקריות (דרך הקריון) (BRT)', 'מרכזית הקריות-גילעם (דרך בן גוריון) (BRT)', 'מרכזית הקריות - בת גלים (BRT)', 'מרכזית הקריות-מרכזית חוף הכרמל (דרך המנהרות) (BRT)', 'מרכזית הקריות-גילעם (דרך גבעת טל ואח"י אילת) (BRT)', 'גילעם-מרכזית הקריות (דרך גבעת טל ואח"י אילת) (BRT)', 'הדר-מרכזית הקריות (דרך קרית ים) (BRT)', 'מרכזית הקריות-חוף הכרמל (דרך 22) (רק"ל)']</t>
  </si>
  <si>
    <t>['טבעת פנימית']</t>
  </si>
  <si>
    <t>עירוני</t>
  </si>
  <si>
    <t>מרכזית הקריות</t>
  </si>
  <si>
    <t>8a2db01ad36ffff</t>
  </si>
  <si>
    <t>[511240, 511241]</t>
  </si>
  <si>
    <t>["['LRT142', 'LRT141']"]</t>
  </si>
  <si>
    <t>['כפ"ס-נתניה דרך טייבה/קלאנסווה (רק"ל)', 'נתניה-כפ"ס דרך טייבה/קלאנסווה (BRT)']</t>
  </si>
  <si>
    <t>רייך/לנטוס, נתניה</t>
  </si>
  <si>
    <t>8a2db0a0ca8ffff</t>
  </si>
  <si>
    <t>[31616, 34082, 1021]</t>
  </si>
  <si>
    <t>['Interurban Rail', 'Suburban Rail', 'BRT', 'LRT']</t>
  </si>
  <si>
    <t>רכבת בינעירונית, רכבת פרברית, BRT, רק"ל</t>
  </si>
  <si>
    <t>["['lrt03', 'lrt04', 'lrt08', 'lrt07']", "['R325-1', 'R321-2', 'R330-2', 'R330-1', 'R321-1', 'R328-2', 'R327-1', 'R327-2', 'R325-2', 'R328-1']", "['rail_4_2', 'rail_4_1', 'rail_5_2', 'rail_6_1', 'rail_10_2', 'rail_6_2', 'rail_7_1', 'rail_3_1', 'rail_10_1', 'rail_1_2', 'rail_1_1', 'rail_7_2', 'rail_5_1', 'rail_3_2']"]</t>
  </si>
  <si>
    <t>['נצרת-חוף הכרמל (רק"ל)', 'חוף הכרמל-נצרת (רק"ל)', 'חוף הכרמל-מרכזית הקריות (דרך 22) (רק"ל)', 'מרכזית הקריות-חוף הכרמל (דרך 22) (רק"ל)', 'הטכניון-בת גלים (דרך העצמאות) (BRT)', 'בת גלים - מרכזית הקריות (BRT)', 'בת גלים-יגור/רכסים (BRT)', 'יגור/רכסים-בת גלים (BRT)', 'מרכזית הקריות - בת גלים (BRT)', 'נאות כרמל-מרכזית המפרץ (דרך ההגנה) (BRT)', 'מרכזית המפרץ-טירת כרמל (דרך ההגנה) (BRT)', 'טירת כרמל-מרכזית המפרץ (דרך ההגנה) (BRT)', 'בת גלים-הטכניון (דרך העצמאות) (BRT)', 'מרכזית המפרץ-נאות כרמל (דרך ההגנה) (BRT)', 'באר שבע-עכו (רכבת בינעירונית)', 'עכו-באר שבע (רכבת בינעירונית)', 'אשקלון-כרמיאל (רכבת בינעירונית)', 'כרמיאל-חיפה (רכבת פרברית)', 'הרצליה-בית שאן (רכבת פרברית)', 'חיפה-כרמיאל (רכבת פרברית)', 'טבריה-עתלית (רכבת פרברית)', 'נהריה-באר שבע (רכבת בינעירונית)', 'בית שאן-הרצליה (רכבת פרברית)', 'מודיעין-קרית שמונה (רכבת בינעירונית)', 'קרית שמונה-מודיעין (רכבת בינעירונית)', 'עתלית-טבריה (רכבת פרברית)', 'כרמיאל-אשקלון (רכבת בינעירונית)', 'באר שבע-נהריה (רכבת בינעירונית)']</t>
  </si>
  <si>
    <t>חיפה מזרח</t>
  </si>
  <si>
    <t>8a2db011ac2ffff</t>
  </si>
  <si>
    <t>[511239]</t>
  </si>
  <si>
    <t>ליבר/לנטוס, נתניה</t>
  </si>
  <si>
    <t>8a2db0cc3217fff</t>
  </si>
  <si>
    <t>[400090, 522006, 521023]</t>
  </si>
  <si>
    <t>['Interurban Rail', 'Suburban Rail', 'Metro']</t>
  </si>
  <si>
    <t>רכבת בינעירונית, רכבת פרברית, מטרו</t>
  </si>
  <si>
    <t>["['rail_4_2', 'rail_4_1', 'rail_16_2', 'rail_10_2', 'rail_20_2', 'rail_1_2', 'rail_1_1', 'rail_11_2', 'rail_3_2', 'rail_16_1', 'rail_14_1', 'rail_10_1', 'rail_17_1', 'rail_12_2', 'rail_5_1', 'rail_5_2', 'rail_11_1', 'rail_20_1', 'rail_12_1', 'rail_17_2', 'rail_3_1', 'rail_14_2']", "['Me02-E', 'Me02-W']", "['M1-RA-RE', 'M1-RE-RA', 'M1-KS-LOD', 'M1-LOD-KS']"]</t>
  </si>
  <si>
    <t>['באר שבע-עכו (רכבת בינעירונית)', 'עכו-באר שבע (רכבת בינעירונית)', 'בית שמש-הרצליה (רכבת פרברית)', 'הרצליה-בית שאן (רכבת פרברית)', 'באר שבע-מודיעין (רכבת פרברית)', 'מודיעין-קרית שמונה (רכבת בינעירונית)', 'קרית שמונה-מודיעין (רכבת בינעירונית)', 'שוקת-זיכרון יעקב (רכבת פרברית)', 'באר שבע-נהריה (רכבת בינעירונית)', 'הרצליה-בית שמש (רכבת פרברית)', 'נתניה-ירושלים (רכבת פרברית)', 'בית שאן-הרצליה (רכבת פרברית)', 'ראש העין-באר שבע (רכבת פרברית)', 'אשקלון-זיכרון יעקב (רכבת פרברית)', 'כרמיאל-אשקלון (רכבת בינעירונית)', 'אשקלון-כרמיאל (רכבת בינעירונית)', 'זיכרון יעקב-שוקת (רכבת פרברית)', 'מודיעין-באר שבע (רכבת פרברית)', 'זיכרון יעקב-אשקלון (רכבת פרברית)', 'באר שבע-ראש העין (רכבת פרברית)', 'נהריה-באר שבע (רכבת בינעירונית)', 'ירושלים-נתניה (רכבת פרברית)', 'וולפסון-סגולה (מטרו)', 'סגולה-וולפסון (מטרו)', 'M1-RA-RE', 'M1-RE-RA', 'M1-KS-LOD', 'M1-LOD-KS']</t>
  </si>
  <si>
    <t>תחנת רכבת השלום</t>
  </si>
  <si>
    <t>8a2db0ccd16ffff</t>
  </si>
  <si>
    <t>[400018, 523019, 521063]</t>
  </si>
  <si>
    <t>['HighSpeed Rail', 'Interurban Rail', 'Suburban Rail', 'Metro']</t>
  </si>
  <si>
    <t>רכבת מהירה, רכבת בינעירונית, רכבת פרברית, מטרו</t>
  </si>
  <si>
    <t>["['M1-RE-RA', 'M1-LOD-KS', 'Me03-R', 'M1-RA-RE', 'Me03-L', 'M1-KS-LOD']", "['rail_4_2', 'rail_4_1', 'rail_16_2', 'rail_10_2', 'rail_20_2', 'rail_2_1', 'rail_1_2', 'rail_1_1', 'rail_11_2', 'rail_3_2', 'rail_16_1', 'rail_14_1', 'rail_9_1', 'rail_10_1', 'rail_17_1', 'rail_8_2', 'rail_14_2', 'rail_2_2', 'rail_5_1', 'rail_5_2', 'rail_11_1', 'rail_20_1', 'rail_12_1', 'rail_17_2', 'rail_3_1', 'rail_8_1', 'rail_9_2', 'rail_12_2']"]</t>
  </si>
  <si>
    <t>['M1-RE-RA', 'M1-LOD-KS', 'בת ים-הרצליה (מטרו)', 'M1-RA-RE', 'הרצליה-בת ים (מטרו)', 'M1-KS-LOD', 'באר שבע-עכו (רכבת בינעירונית)', 'עכו-באר שבע (רכבת בינעירונית)', 'בית שמש-הרצליה (רכבת פרברית)', 'הרצליה-בית שאן (רכבת פרברית)', 'באר שבע-מודיעין (רכבת פרברית)', 'נהריה-אילת (רכבת מהירה)', 'מודיעין-קרית שמונה (רכבת בינעירונית)', 'קרית שמונה-מודיעין (רכבת בינעירונית)', 'שוקת-זיכרון יעקב (רכבת פרברית)', 'באר שבע-נהריה (רכבת בינעירונית)', 'הרצליה-בית שמש (רכבת פרברית)', 'נתניה-ירושלים (רכבת פרברית)', 'חיפה-באר שבע (רכבת מהירה)', 'בית שאן-הרצליה (רכבת פרברית)', 'ראש העין-באר שבע (רכבת פרברית)', 'ירושלים-חיפה (רכבת מהירה)', 'ירושלים-נתניה (רכבת פרברית)', 'אילת-נהריה (רכבת מהירה)', 'כרמיאל-אשקלון (רכבת בינעירונית)', 'אשקלון-כרמיאל (רכבת בינעירונית)', 'זיכרון יעקב-שוקת (רכבת פרברית)', 'מודיעין-באר שבע (רכבת פרברית)', 'זיכרון יעקב-אשקלון (רכבת פרברית)', 'באר שבע-ראש העין (רכבת פרברית)', 'נהריה-באר שבע (רכבת בינעירונית)', 'חיפה-ירושלים (רכבת מהירה)', 'באר שבע-חיפה (רכבת מהירה)', 'אשקלון-זיכרון יעקב (רכבת פרברית)']</t>
  </si>
  <si>
    <t>גלילות דרום</t>
  </si>
  <si>
    <t>8a2db011a8a7fff</t>
  </si>
  <si>
    <t>[511238]</t>
  </si>
  <si>
    <t>קלאוזנר/לנטוס, נתניה</t>
  </si>
  <si>
    <t>8a2db66e8157fff</t>
  </si>
  <si>
    <t>[463640, 467197]</t>
  </si>
  <si>
    <t>["['4.1_Arad-BS', '4.1_BS-Arad', '4.2_LRT_BRS-Shoket', '4.2_LRT_Shoket-BRS']", "['rail_4_2', 'rail_20_1', 'rail_4_1', 'rail_20_2', 'rail_17_2', 'rail_9_1', 'rail_3_1', 'rail_2_1', 'rail_17_1', 'rail_21_2', 'rail_21_1', 'rail_2_2', 'rail_9_2', 'rail_3_2']"]</t>
  </si>
  <si>
    <t>['ערד-באר שבע מערב (רק"ל)', 'באר שבע מערב-ערד (רק"ל)', 'צומת שוקת-מרכז רפואי באר שבע (רק"ל)', 'מרכז רפואי באר שבע-צומת שוקת (רק"ל)', 'באר שבע-עכו (רכבת בינעירונית)', 'מודיעין-באר שבע (רכבת פרברית)', 'עכו-באר שבע (רכבת בינעירונית)', 'באר שבע-מודיעין (רכבת פרברית)', 'באר שבע-ראש העין (רכבת פרברית)', 'חיפה-באר שבע (רכבת מהירה)', 'נהריה-באר שבע (רכבת בינעירונית)', 'נהריה-אילת (רכבת מהירה)', 'ראש העין-באר שבע (רכבת פרברית)', 'באר שבע-ירושלים (רכבת בינעירונית)', 'ירושלים-באר שבע (רכבת בינעירונית)', 'אילת-נהריה (רכבת מהירה)', 'באר שבע-חיפה (רכבת מהירה)', 'באר שבע-נהריה (רכבת בינעירונית)']</t>
  </si>
  <si>
    <t>תחנת רכבת באר שבע צפון-האוניברסיטה</t>
  </si>
  <si>
    <t>8a2db0a2b787fff</t>
  </si>
  <si>
    <t>[31501, 1022]</t>
  </si>
  <si>
    <t>['Funicular', 'BRT']</t>
  </si>
  <si>
    <t>פוניקולר, BRT</t>
  </si>
  <si>
    <t>["['R325-1', 'R321-2', 'R330-2', 'R330-1', 'R321-1', 'R328-2', 'R327-1', 'R327-2', 'R325-2', 'R328-1']", "['s0110a']"]</t>
  </si>
  <si>
    <t>['הטכניון-בת גלים (דרך העצמאות) (BRT)', 'בת גלים - מרכזית הקריות (BRT)', 'בת גלים-יגור/רכסים (BRT)', 'יגור/רכסים-בת גלים (BRT)', 'מרכזית הקריות - בת גלים (BRT)', 'נאות כרמל-מרכזית המפרץ (דרך ההגנה) (BRT)', 'מרכזית המפרץ-טירת כרמל (דרך ההגנה) (BRT)', 'טירת כרמל-מרכזית המפרץ (דרך ההגנה) (BRT)', 'בת גלים-הטכניון (דרך העצמאות) (BRT)', 'מרכזית המפרץ-נאות כרמל (דרך ההגנה) (BRT)', 's0110a']</t>
  </si>
  <si>
    <t>קרית הממשלה, חיפה</t>
  </si>
  <si>
    <t>8a2db04d2c67fff</t>
  </si>
  <si>
    <t>[51106, 51018, 50011]</t>
  </si>
  <si>
    <t>['LRT', 'HighSpeed Rail', 'Interurban Rail', 'Suburban Rail', 'LRT']</t>
  </si>
  <si>
    <t>רק"ל, רכבת מהירה, רכבת בינעירונית, רכבת פרברית, רק"ל</t>
  </si>
  <si>
    <t>["['LRT11', 'LRT12', 'LRT32', 'LRT31']", "['rail_18_2', 'rail_13_1', 'rail_14_1', 'LRT62', 'rail_13_2', 'LRT71', 'rail_14_2', 'rail_8_2', 'LRT72', 'rail_21_1', 'rail_8_1', 'LRT61', 'rail_21_2', 'rail_18_1']"]</t>
  </si>
  <si>
    <t>['אדום כיוון 1 (רק"ל)', 'אדום כיוון 2 (רק"ל)', 'ירוק מקווקוו 1 כיוון 2 (רק"ל)', 'ירוק מקווקוו 1 כיוון 1 (רק"ל)', 'ירושלים-מודיעין (רכבת פרברית)', 'חריש-ירושלים (רכבת פרברית)', 'נתניה-ירושלים (רכבת פרברית)', 'כחול כיוון 2 (רק"ל)', 'ירושלים-חריש (רכבת פרברית)', 'תכלת כיוון 1 (רק"ל)', 'ירושלים-נתניה (רכבת פרברית)', 'ירושלים-חיפה (רכבת מהירה)', 'תכלת כיוון 2 (רק"ל)', 'ירושלים-באר שבע (רכבת בינעירונית)', 'חיפה-ירושלים (רכבת מהירה)', 'כחול כיוון 1 (רק"ל)', 'באר שבע-ירושלים (רכבת בינעירונית)', 'מודיעין-ירושלים (רכבת פרברית)']</t>
  </si>
  <si>
    <t>תחנת רכבת ירושלים-מרכז</t>
  </si>
  <si>
    <t>8a2db0cd1b07fff</t>
  </si>
  <si>
    <t>[512026, 521060, 400421]</t>
  </si>
  <si>
    <t>['Metro', 'LRT', 'Suburban Rail']</t>
  </si>
  <si>
    <t>מטרו, רק"ל, רכבת פרברית</t>
  </si>
  <si>
    <t>["['Grn2-N', 'Grn2-S', 'Grn1-N', 'Grn1-S', 'Grn3-N', 'Grn3-S']", "['M1-RA-RE', 'M1-RE-RA', 'M1-KS-LOD', 'M1-LOD-KS']", "['rail_20_1', 'rail_11_1', 'rail_20_2', 'rail_11_2']"]</t>
  </si>
  <si>
    <t>['חולון-הרצליה (רק"ל)', 'הרצליה-חולון (רק"ל)', 'ראשל"צ-עתידים (רק"ל)', 'עתידים-ראשל"צ (רק"ל)', 'חולון-אונ\' ת"א (רק"ל)', 'אונ\' ת"א-חולון (רק"ל)', 'M1-RA-RE', 'M1-RE-RA', 'M1-KS-LOD', 'M1-LOD-KS', 'מודיעין-באר שבע (רכבת פרברית)', 'זיכרון יעקב-שוקת (רכבת פרברית)', 'באר שבע-מודיעין (רכבת פרברית)', 'שוקת-זיכרון יעקב (רכבת פרברית)']</t>
  </si>
  <si>
    <t>תחנת רכבת צומת חולון</t>
  </si>
  <si>
    <t>8a2db0cc3027fff</t>
  </si>
  <si>
    <t>[512020, 522005, 511015]</t>
  </si>
  <si>
    <t>['LRT', 'Metro']</t>
  </si>
  <si>
    <t>רק"ל, מטרו</t>
  </si>
  <si>
    <t>["['Grn2-N', 'Grn2-S', 'Grn1-N', 'Grn1-S', 'Grn3-N', 'Grn3-S']", "['Me02-E', 'Me02-W']", "['Red2-S', 'Red-N', 'Red2-N', 'Shut-S', 'Red-S', 'Shut-N']"]</t>
  </si>
  <si>
    <t>['חולון-הרצליה (רק"ל)', 'הרצליה-חולון (רק"ל)', 'ראשל"צ-עתידים (רק"ל)', 'עתידים-ראשל"צ (רק"ל)', 'חולון-אונ\' ת"א (רק"ל)', 'אונ\' ת"א-חולון (רק"ל)', 'וולפסון-סגולה (מטרו)', 'סגולה-וולפסון (מטרו)', 'פ"ת (קרית אריה)-ראשל"צ (רק"ל)', 'ראשל"צ-פ"ת (רק"ל)', 'ראשל"צ-פ"ת (קרית אריה) (רק"ל)', 'פ"ת-ת"א (רק"ל)', 'פ"ת-ראשל"צ (רק"ל)', 'ת"א-פ"ת (רק"ל)']</t>
  </si>
  <si>
    <t>השוק הסיטונאי, תל אביב</t>
  </si>
  <si>
    <t>8a2db0118497fff</t>
  </si>
  <si>
    <t>[511204, 511237]</t>
  </si>
  <si>
    <t>כיכר האחדות, נתניה</t>
  </si>
  <si>
    <t>8a2db0521057fff</t>
  </si>
  <si>
    <t>[511273, 150274, 516022, 515022]</t>
  </si>
  <si>
    <t>['LRT', 'BRT', 'LRT', 'BRT']</t>
  </si>
  <si>
    <t>רק"ל, BRT, רק"ל, BRT</t>
  </si>
  <si>
    <t>["['LRT-L1', 'LRT-L2']", "['BRT1-2']", "['ART2-2', 'ART1-2', 'BRT1-1', 'BRT1-2', 'ART1-1', 'ART2-1']"]</t>
  </si>
  <si>
    <t>['נתניה-אשדוד (רק"ל)', 'אשדוד-נתניה (רק"ל)', 'לוד-תחנה מרכזית ראשל"צ (BRT)', 'אסף הרופא-חוף ראשל"צ (רק"ל)', 'אסף הרופא-מתחם ה-1000 (רק"ל)', 'תחנה מרכזית ראשל"צ-לוד (BRT)', 'מתחם ה-1000-אסף הרופא (רק"ל)', 'חוף ראשל"צ-אסף הרופא (רק"ל)']</t>
  </si>
  <si>
    <t>['טבעת תיכונה']</t>
  </si>
  <si>
    <t>תחנה מרכזית חדשה, ראשון לציון</t>
  </si>
  <si>
    <t>8a2db0a6ad97fff</t>
  </si>
  <si>
    <t>[31622]</t>
  </si>
  <si>
    <t>['HighSpeed Rail', 'Interurban Rail']</t>
  </si>
  <si>
    <t>רכבת מהירה, רכבת בינעירונית</t>
  </si>
  <si>
    <t>["['rail_4_2', 'rail_4_1', 'rail_3_1', 'rail_2_1', 'rail_2_2', 'rail_3_2']"]</t>
  </si>
  <si>
    <t>['באר שבע-עכו (רכבת בינעירונית)', 'עכו-באר שבע (רכבת בינעירונית)', 'נהריה-באר שבע (רכבת בינעירונית)', 'נהריה-אילת (רכבת מהירה)', 'אילת-נהריה (רכבת מהירה)', 'באר שבע-נהריה (רכבת בינעירונית)']</t>
  </si>
  <si>
    <t>תחנת רכבת עכו</t>
  </si>
  <si>
    <t>8a2db0ccc6c7fff</t>
  </si>
  <si>
    <t>[400070, 512006]</t>
  </si>
  <si>
    <t>["['Grn3-N', 'Grn1-S', 'Grn1-N', 'Grn3-S']", "['rail_4_2', 'rail_4_1', 'rail_16_2', 'rail_10_2', 'rail_20_2', 'rail_1_2', 'rail_1_1', 'rail_11_2', 'rail_3_2', 'rail_16_1', 'rail_14_1', 'rail_10_1', 'rail_17_1', 'rail_14_2', 'rail_5_1', 'rail_5_2', 'rail_11_1', 'rail_20_1', 'rail_12_1', 'rail_17_2', 'rail_3_1', 'rail_12_2']"]</t>
  </si>
  <si>
    <t>['חולון-אונ\' ת"א (רק"ל)', 'עתידים-ראשל"צ (רק"ל)', 'ראשל"צ-עתידים (רק"ל)', 'אונ\' ת"א-חולון (רק"ל)', 'באר שבע-עכו (רכבת בינעירונית)', 'עכו-באר שבע (רכבת בינעירונית)', 'בית שמש-הרצליה (רכבת פרברית)', 'הרצליה-בית שאן (רכבת פרברית)', 'באר שבע-מודיעין (רכבת פרברית)', 'מודיעין-קרית שמונה (רכבת בינעירונית)', 'קרית שמונה-מודיעין (רכבת בינעירונית)', 'שוקת-זיכרון יעקב (רכבת פרברית)', 'באר שבע-נהריה (רכבת בינעירונית)', 'הרצליה-בית שמש (רכבת פרברית)', 'נתניה-ירושלים (רכבת פרברית)', 'בית שאן-הרצליה (רכבת פרברית)', 'ראש העין-באר שבע (רכבת פרברית)', 'ירושלים-נתניה (רכבת פרברית)', 'כרמיאל-אשקלון (רכבת בינעירונית)', 'אשקלון-כרמיאל (רכבת בינעירונית)', 'זיכרון יעקב-שוקת (רכבת פרברית)', 'מודיעין-באר שבע (רכבת פרברית)', 'זיכרון יעקב-אשקלון (רכבת פרברית)', 'באר שבע-ראש העין (רכבת פרברית)', 'נהריה-באר שבע (רכבת בינעירונית)', 'אשקלון-זיכרון יעקב (רכבת פרברית)']</t>
  </si>
  <si>
    <t>תחנת רכבת ת"א האוניברסיטה</t>
  </si>
  <si>
    <t>8a2db0cca847fff</t>
  </si>
  <si>
    <t>[511009, 525244]</t>
  </si>
  <si>
    <t>['LRT', 'BRT']</t>
  </si>
  <si>
    <t>רק"ל, BRT</t>
  </si>
  <si>
    <t>["['Red2-S', 'Red-N', 'Red2-N', 'Shut-S', 'Red-S', 'Shut-N']", "['Yelw-N', 'Yelw-S']"]</t>
  </si>
  <si>
    <t>['פ"ת (קרית אריה)-ראשל"צ (רק"ל)', 'ראשל"צ-פ"ת (רק"ל)', 'ראשל"צ-פ"ת (קרית אריה) (רק"ל)', 'פ"ת-ת"א (רק"ל)', 'פ"ת-ראשל"צ (רק"ל)', 'ת"א-פ"ת (רק"ל)', 'רצועת הנופש-צומת חולון (BRT)', 'צומת חולון-רצועת הנופש (BRT)']</t>
  </si>
  <si>
    <t>מרכז דן, בני ברק</t>
  </si>
  <si>
    <t>8a2db01ac2effff</t>
  </si>
  <si>
    <t>[511226, 511227, 511228]</t>
  </si>
  <si>
    <t>איקאה, נתניה</t>
  </si>
  <si>
    <t>8a2db0a0ba17fff</t>
  </si>
  <si>
    <t>[1016, 34005]</t>
  </si>
  <si>
    <t>["['R322-2', 'R321-2', 'R323-1', 'lrt07', 'lrt03', 'R321-1', 'lrt01', 'R322-1', 'R323-2', 'R329-2', 'lrt04', 'lrt02', 'R331-2', 'R331-1', 'lrt08', 'R329-1']"]</t>
  </si>
  <si>
    <t>['מרכזית חוף הכרמל-מרכזית הקריות (דרך המנהרות) (BRT)', 'בת גלים - מרכזית הקריות (BRT)', 'מרכזית הקריות-הדר (דרך קרית ים) (BRT)', 'מרכזית הקריות-חוף הכרמל (דרך 22) (רק"ל)', 'נצרת-חוף הכרמל (רק"ל)', 'מרכזית הקריות - בת גלים (BRT)', 'נצרת-מרכזית המפרץ (רק"ל)', 'מרכזית הקריות-מרכזית חוף הכרמל (דרך המנהרות) (BRT)', 'הדר-מרכזית הקריות (דרך קרית ים) (BRT)', 'מרכזית המפרץ-עכו (BRT)', 'חוף הכרמל-נצרת (רק"ל)', 'מרכזית המפרץ-נצרת (רק"ל)', 'מרכז הכרמל-גילעם (דרך המנהרות) (BRT)', 'גילעם-מרכז הכרמל (דרך המנהרות) (BRT)', 'חוף הכרמל-מרכזית הקריות (דרך 22) (רק"ל)', 'עכו-מרכזית המפרץ (BRT)']</t>
  </si>
  <si>
    <t>חוצות המפרץ</t>
  </si>
  <si>
    <t>8a2db01ad56ffff</t>
  </si>
  <si>
    <t>[511224]</t>
  </si>
  <si>
    <t>גיבורי ישראל/התרופה, נתניה</t>
  </si>
  <si>
    <t>8a2db0aedd07fff</t>
  </si>
  <si>
    <t>[1000, 36850, 34014]</t>
  </si>
  <si>
    <t>["['R1002-2', 'brt012', 'R1002-1']", "['lrt06', 'lrt03', 'lrt01', 'lrt05', 'lrt02', 'lrt04']"]</t>
  </si>
  <si>
    <t>['מרכזית הקריות-גילעם (דרך בן גוריון) (BRT)', 'גילעם-דיר חנא (BRT)', 'גילעם-מרכזית הקריות (דרך בן גוריון) (BRT)', 'אחיהוד-נצרת (רק"ל)', 'נצרת-חוף הכרמל (רק"ל)', 'נצרת-מרכזית המפרץ (רק"ל)', 'נצרת-אחיהוד (רק"ל)', 'מרכזית המפרץ-נצרת (רק"ל)', 'חוף הכרמל-נצרת (רק"ל)']</t>
  </si>
  <si>
    <t>מחלף גילעם</t>
  </si>
  <si>
    <t>8a2db0a5471ffff</t>
  </si>
  <si>
    <t>[31611]</t>
  </si>
  <si>
    <t>["['rail_4_2', 'rail_4_1', 'rail_5_2', 'rail_3_1', 'rail_2_1', 'rail_1_2', 'rail_1_1', 'rail_2_2', 'rail_5_1', 'rail_3_2']"]</t>
  </si>
  <si>
    <t>['באר שבע-עכו (רכבת בינעירונית)', 'עכו-באר שבע (רכבת בינעירונית)', 'אשקלון-כרמיאל (רכבת בינעירונית)', 'נהריה-באר שבע (רכבת בינעירונית)', 'נהריה-אילת (רכבת מהירה)', 'מודיעין-קרית שמונה (רכבת בינעירונית)', 'קרית שמונה-מודיעין (רכבת בינעירונית)', 'אילת-נהריה (רכבת מהירה)', 'כרמיאל-אשקלון (רכבת בינעירונית)', 'באר שבע-נהריה (רכבת בינעירונית)']</t>
  </si>
  <si>
    <t>תחנת רכבת קרית מוצקין</t>
  </si>
  <si>
    <t>8a2db0cdc977fff</t>
  </si>
  <si>
    <t>[521021, 400110, 513014]</t>
  </si>
  <si>
    <t>['Interurban Rail', 'Suburban Rail', 'Metro', 'LRT']</t>
  </si>
  <si>
    <t>רכבת בינעירונית, רכבת פרברית, מטרו, רק"ל</t>
  </si>
  <si>
    <t>["['rail_4_2', 'rail_4_1', 'rail_16_2', 'rail_10_2', 'rail_20_2', 'rail_1_2', 'rail_1_1', 'rail_11_2', 'rail_3_2', 'rail_16_1', 'rail_14_1', 'rail_10_1', 'rail_17_1', 'rail_14_2', 'rail_5_1', 'rail_5_2', 'rail_11_1', 'rail_20_1', 'rail_12_1', 'rail_17_2', 'rail_3_1', 'rail_12_2']", "['M1-RA-RE', 'M1-RE-RA', 'M1-KS-LOD', 'M1-LOD-KS']", "['Mgt1-E', 'Mgt2-E', 'Mgt3-W', 'Mgt3-E', 'Mgt2-W', 'Mgt1-W']"]</t>
  </si>
  <si>
    <t>['באר שבע-עכו (רכבת בינעירונית)', 'עכו-באר שבע (רכבת בינעירונית)', 'בית שמש-הרצליה (רכבת פרברית)', 'הרצליה-בית שאן (רכבת פרברית)', 'באר שבע-מודיעין (רכבת פרברית)', 'מודיעין-קרית שמונה (רכבת בינעירונית)', 'קרית שמונה-מודיעין (רכבת בינעירונית)', 'שוקת-זיכרון יעקב (רכבת פרברית)', 'באר שבע-נהריה (רכבת בינעירונית)', 'הרצליה-בית שמש (רכבת פרברית)', 'נתניה-ירושלים (רכבת פרברית)', 'בית שאן-הרצליה (רכבת פרברית)', 'ראש העין-באר שבע (רכבת פרברית)', 'ירושלים-נתניה (רכבת פרברית)', 'כרמיאל-אשקלון (רכבת בינעירונית)', 'אשקלון-כרמיאל (רכבת בינעירונית)', 'זיכרון יעקב-שוקת (רכבת פרברית)', 'מודיעין-באר שבע (רכבת פרברית)', 'זיכרון יעקב-אשקלון (רכבת פרברית)', 'באר שבע-ראש העין (רכבת פרברית)', 'נהריה-באר שבע (רכבת בינעירונית)', 'אשקלון-זיכרון יעקב (רכבת פרברית)', 'M1-RA-RE', 'M1-RE-RA', 'M1-KS-LOD', 'M1-LOD-KS', 'בר אילן-סבידור (רק"ל)', 'יהוד-סבידור (רק"ל)', 'אלנבי-יהוד (רק"ל)', 'יהוד-אלנבי (רק"ל)', 'סבידור-יהוד (רק"ל)', 'סבידור-בר אילן (רק"ל)']</t>
  </si>
  <si>
    <t>תחנת רכבת תל אביב ההגנה</t>
  </si>
  <si>
    <t>8a2db569a22ffff</t>
  </si>
  <si>
    <t>[31624]</t>
  </si>
  <si>
    <t>["['rail_3_1', 'rail_2_1', 'rail_2_2', 'rail_3_2']"]</t>
  </si>
  <si>
    <t>['נהריה-באר שבע (רכבת בינעירונית)', 'נהריה-אילת (רכבת מהירה)', 'אילת-נהריה (רכבת מהירה)', 'באר שבע-נהריה (רכבת בינעירונית)']</t>
  </si>
  <si>
    <t>תחנת רכבת נהריה</t>
  </si>
  <si>
    <t>8a2db62d5b0ffff</t>
  </si>
  <si>
    <t>[500042, 400820, 500222]</t>
  </si>
  <si>
    <t>['Interurban Rail', 'Suburban Rail', 'BRT', 'BRT']</t>
  </si>
  <si>
    <t>רכבת בינעירונית, רכבת פרברית, BRT, BRT</t>
  </si>
  <si>
    <t>["['rail_4_2', 'rail_15_2', 'rail_4_1', 'BRT_Pink_W', 'BRT_Pink_E', 'BRT_Blue_E', 'rail_17_2', 'rail_3_1', 'rail_17_1', 'rail_15_1', 'rail_21_2', 'BRT_Blue_W', 'rail_21_1', 'rail_3_2']", "['BRT_Pink_E', 'BRT_Blue_E', 'BRT_Pink_W', 'BRT_Blue_W']"]</t>
  </si>
  <si>
    <t>['באר שבע-עכו (רכבת בינעירונית)', 'שוקת-חדרה (רכבת פרברית)', 'עכו-באר שבע (רכבת בינעירונית)', 'קרית גת-אשקלון (ורוד) (BRT)', 'אשקלון-קרית גת (ורוד) (BRT)', 'אשקלון-קרית גת (כחול) (BRT)', 'באר שבע-ראש העין (רכבת פרברית)', 'נהריה-באר שבע (רכבת בינעירונית)', 'ראש העין-באר שבע (רכבת פרברית)', 'חדרה-שוקת (רכבת פרברית)', 'באר שבע-ירושלים (רכבת בינעירונית)', 'קרית גת-אשקלון (כחול) (BRT)', 'ירושלים-באר שבע (רכבת בינעירונית)', 'באר שבע-נהריה (רכבת בינעירונית)']</t>
  </si>
  <si>
    <t>מחוז דרום</t>
  </si>
  <si>
    <t>['מחוז דרום']</t>
  </si>
  <si>
    <t>חוץ</t>
  </si>
  <si>
    <t>8a2db0aed737fff</t>
  </si>
  <si>
    <t>[34063, 34064, 36858, 36860, 36862]</t>
  </si>
  <si>
    <t>["['brt011', 'brt012']", "['lrt06', 'brt011', 'brt012', 'lrt05']", "['lrt06', 'lrt05']"]</t>
  </si>
  <si>
    <t>['דיר חנא-גילעם (BRT)', 'גילעם-דיר חנא (BRT)', 'אחיהוד-נצרת (רק"ל)', 'נצרת-אחיהוד (רק"ל)']</t>
  </si>
  <si>
    <t>צומת אבליים</t>
  </si>
  <si>
    <t>8a2db0515cb7fff</t>
  </si>
  <si>
    <t>[521002, 525212, 525494]</t>
  </si>
  <si>
    <t>['Metro', 'LRT', 'BRT']</t>
  </si>
  <si>
    <t>מטרו, רק"ל, BRT</t>
  </si>
  <si>
    <t>["['East-N', 'RH-GY1']", "['M1-RE-RA']"]</t>
  </si>
  <si>
    <t>['צומת רעננה-צומת בילו (רק"ל)', 'רחובות-גן יבנה (דרך אשדוד) (BRT)', 'M1-RE-RA']</t>
  </si>
  <si>
    <t>צומת בילו/בית חולים קפלן</t>
  </si>
  <si>
    <t>8a2db018272ffff</t>
  </si>
  <si>
    <t>[521073, 511162, 525060, 521039]</t>
  </si>
  <si>
    <t>['Metro', 'BRT', 'LRT', 'LRT']</t>
  </si>
  <si>
    <t>מטרו, BRT, רק"ל, רק"ל</t>
  </si>
  <si>
    <t>["['LRT142']", "['LRT142', 'M1-KS-LOD', 'M1-LOD-KS', 'LRT141']", "['East-S']"]</t>
  </si>
  <si>
    <t>['כפ"ס-נתניה דרך טייבה/קלאנסווה (רק"ל)', 'M1-KS-LOD', 'M1-LOD-KS', 'נתניה-כפ"ס דרך טייבה/קלאנסווה (BRT)', 'צומת בילו-צומת רעננה (רק"ל)']</t>
  </si>
  <si>
    <t>ויצמן/טשרניחובסקי, כפר סבא</t>
  </si>
  <si>
    <t>8a2db664e2f7fff</t>
  </si>
  <si>
    <t>[463793, 467925]</t>
  </si>
  <si>
    <t>['Interurban Rail', 'LRT']</t>
  </si>
  <si>
    <t>רכבת בינעירונית, רק"ל</t>
  </si>
  <si>
    <t>['[\'rail_4_2\', \'rail_4_1\', "4.4_Rahat-Bee\'rSheva_Main", \'rail_3_1\', \'rail_21_2\', "4.4_Bee\'rSheva-Rahat_Main", \'rail_21_1\', \'rail_3_2\']']</t>
  </si>
  <si>
    <t>['באר שבע-עכו (רכבת בינעירונית)', 'עכו-באר שבע (רכבת בינעירונית)', '4.4_Rahat-BeerSheva_Main', 'נהריה-באר שבע (רכבת בינעירונית)', 'באר שבע-ירושלים (רכבת בינעירונית)', '4.4_BeerSheva-Rahat_Main', 'ירושלים-באר שבע (רכבת בינעירונית)', 'באר שבע-נהריה (רכבת בינעירונית)']</t>
  </si>
  <si>
    <t>תחנת רכבת להבים-רהט</t>
  </si>
  <si>
    <t>8a2db01adda7fff</t>
  </si>
  <si>
    <t>[511230]</t>
  </si>
  <si>
    <t>לבון/בן גוריון, נתניה</t>
  </si>
  <si>
    <t>8a2db01ad50ffff</t>
  </si>
  <si>
    <t>[511225]</t>
  </si>
  <si>
    <t>בית אדר, נתניה</t>
  </si>
  <si>
    <t>8a2db0180737fff</t>
  </si>
  <si>
    <t>[525299, 525300, 521039]</t>
  </si>
  <si>
    <t>['BRT', 'Metro']</t>
  </si>
  <si>
    <t>BRT, מטרו</t>
  </si>
  <si>
    <t>["['Hz-KS1', 'Hz-KS2']", "['M1-RA-RE', 'M1-RE-RA']"]</t>
  </si>
  <si>
    <t>['כפר סבא-הרצליה (BRT)', 'הרצליה-כפר סבא (BRT)', 'M1-RA-RE', 'M1-RE-RA']</t>
  </si>
  <si>
    <t>8a2db0cc0647fff</t>
  </si>
  <si>
    <t>[513009, 522003]</t>
  </si>
  <si>
    <t>["['Mgt1-E', 'Mgt2-E', 'Me02-E', 'Mgt3-E', 'Me02-W', 'Mgt2-W', 'Mgt1-W']"]</t>
  </si>
  <si>
    <t>['בר אילן-סבידור (רק"ל)', 'יהוד-סבידור (רק"ל)', 'וולפסון-סגולה (מטרו)', 'יהוד-אלנבי (רק"ל)', 'סגולה-וולפסון (מטרו)', 'סבידור-יהוד (רק"ל)', 'סבידור-בר אילן (רק"ל)']</t>
  </si>
  <si>
    <t>המלך ג'ורג'/אלנבי, תל אביב</t>
  </si>
  <si>
    <t>8a2db0565977fff</t>
  </si>
  <si>
    <t>[511038, 400550, 523015]</t>
  </si>
  <si>
    <t>['Suburban Rail', 'LRT', 'LRT', 'Metro']</t>
  </si>
  <si>
    <t>רכבת פרברית, רק"ל, רק"ל, מטרו</t>
  </si>
  <si>
    <t>["['Red2-S', 'rail_20_1', 'Shut-S', 'rail_20_2']", "['East-S', 'East-N', 'Me03-L', 'Me03-R']"]</t>
  </si>
  <si>
    <t>['פ"ת (קרית אריה)-ראשל"צ (רק"ל)', 'מודיעין-באר שבע (רכבת פרברית)', 'פ"ת-ת"א (רק"ל)', 'באר שבע-מודיעין (רכבת פרברית)', 'צומת בילו-צומת רעננה (רק"ל)', 'צומת רעננה-צומת בילו (רק"ל)', 'הרצליה-בת ים (מטרו)', 'בת ים-הרצליה (מטרו)']</t>
  </si>
  <si>
    <t>תחנת רכבת קרית אריה</t>
  </si>
  <si>
    <t>8a2db6271127fff</t>
  </si>
  <si>
    <t>[511050, 511059, 400380, 512134]</t>
  </si>
  <si>
    <t>['LRT', 'Interurban Rail', 'Suburban Rail', 'LRT']</t>
  </si>
  <si>
    <t>רק"ל, רכבת בינעירונית, רכבת פרברית, רק"ל</t>
  </si>
  <si>
    <t>["['rail_20_1', 'rail_12_1', 'rail_19_1', 'rail_5_2', 'rail_19_2', 'rail_11_1', 'rail_20_2', 'rail_5_1', 'L2-N', 'rail_11_2', 'rail_12_2']", "['Orange_N', 'RedS', 'RedN', 'Orange_S']", "['L1-N']"]</t>
  </si>
  <si>
    <t>['מודיעין-באר שבע (רכבת פרברית)', 'זיכרון יעקב-אשקלון (רכבת פרברית)', 'מודיעין-אשדוד (רכבת פרברית)', 'אשקלון-כרמיאל (רכבת בינעירונית)', 'אשדוד-מודיעין (רכבת פרברית)', 'זיכרון יעקב-שוקת (רכבת פרברית)', 'באר שבע-מודיעין (רכבת פרברית)', 'כרמיאל-אשקלון (רכבת בינעירונית)', 'אשדוד-יבנה (דרך הנמל) (רק"ל)', 'שוקת-זיכרון יעקב (רכבת פרברית)', 'אשקלון-זיכרון יעקב (רכבת פרברית)', 'אשקלון-אשדוד (כתום) (רק"ל)', 'אשדוד-אשקלון (אדום) (רק"ל)', 'אשקלון-אשדוד (אדום) (רק"ל)', 'אשדוד-אשקלון (כתום) (רק"ל)', 'אשדוד-רחובות (דרך הנמל) (רק"ל)']</t>
  </si>
  <si>
    <t>תחנת רכבת אשדוד-עד הלום</t>
  </si>
  <si>
    <t>8a2db003505ffff</t>
  </si>
  <si>
    <t>[511133]</t>
  </si>
  <si>
    <t>העצמאות/העלייה, כפר יונה</t>
  </si>
  <si>
    <t>8a2db0cd5237fff</t>
  </si>
  <si>
    <t>[522025, 400422]</t>
  </si>
  <si>
    <t>['Suburban Rail', 'Metro']</t>
  </si>
  <si>
    <t>רכבת פרברית, מטרו</t>
  </si>
  <si>
    <t>["['rail_20_1', 'rail_11_1', 'rail_20_2', 'Me02-E', 'Me02-W', 'rail_11_2']"]</t>
  </si>
  <si>
    <t>['מודיעין-באר שבע (רכבת פרברית)', 'זיכרון יעקב-שוקת (רכבת פרברית)', 'באר שבע-מודיעין (רכבת פרברית)', 'וולפסון-סגולה (מטרו)', 'סגולה-וולפסון (מטרו)', 'שוקת-זיכרון יעקב (רכבת פרברית)']</t>
  </si>
  <si>
    <t>תחנת רכבת חולון-וולפסון</t>
  </si>
  <si>
    <t>8a2db0143337fff</t>
  </si>
  <si>
    <t>[390513, 984889]</t>
  </si>
  <si>
    <t>['BRT', 'Suburban Rail']</t>
  </si>
  <si>
    <t>BRT, רכבת פרברית</t>
  </si>
  <si>
    <t>["['rail_12_2', 'rail_11_1', 'rail_11_2', 'rail_12_1']", "['brt062', 'brt061']"]</t>
  </si>
  <si>
    <t>['אשקלון-זיכרון יעקב (רכבת פרברית)', 'זיכרון יעקב-שוקת (רכבת פרברית)', 'שוקת-זיכרון יעקב (רכבת פרברית)', 'זיכרון יעקב-אשקלון (רכבת פרברית)', 'חדרה-אור עקיבא (BRT)', 'אור עקיבא-חדרה (BRT)']</t>
  </si>
  <si>
    <t>['חיפה']</t>
  </si>
  <si>
    <t>תחנת רכבת קיסריה-פרדס חנה</t>
  </si>
  <si>
    <t>8a2db001004ffff</t>
  </si>
  <si>
    <t>[511144]</t>
  </si>
  <si>
    <t>צומת טייבה</t>
  </si>
  <si>
    <t>8a2db0a4a2dffff</t>
  </si>
  <si>
    <t>[31525, 34071]</t>
  </si>
  <si>
    <t>["['lrt06']", "['rail_5_2', 'rail_6_1', 'rail_6_2', 'rail_1_2', 'rail_1_1', 'rail_5_1']"]</t>
  </si>
  <si>
    <t>['אחיהוד-נצרת (רק"ל)', 'אשקלון-כרמיאל (רכבת בינעירונית)', 'כרמיאל-חיפה (רכבת פרברית)', 'חיפה-כרמיאל (רכבת פרברית)', 'מודיעין-קרית שמונה (רכבת בינעירונית)', 'קרית שמונה-מודיעין (רכבת בינעירונית)', 'כרמיאל-אשקלון (רכבת בינעירונית)']</t>
  </si>
  <si>
    <t>תחנת רכבת אחיהוד</t>
  </si>
  <si>
    <t>8a2db030801ffff</t>
  </si>
  <si>
    <t>[36985, 31634]</t>
  </si>
  <si>
    <t>['Suburban Rail', 'BRT']</t>
  </si>
  <si>
    <t>רכבת פרברית, BRT</t>
  </si>
  <si>
    <t>["['rail_10_2', 'rail_10_1', 'rail_7_1', 'rail_7_2', 'brt041']"]</t>
  </si>
  <si>
    <t>['הרצליה-בית שאן (רכבת פרברית)', 'בית שאן-הרצליה (רכבת פרברית)', 'טבריה-עתלית (רכבת פרברית)', 'עתלית-טבריה (רכבת פרברית)', 'עפולה-נצרת (BRT)']</t>
  </si>
  <si>
    <t>צפון</t>
  </si>
  <si>
    <t>['צפון']</t>
  </si>
  <si>
    <t>תחנת רכבת עפולה</t>
  </si>
  <si>
    <t>8a2db052e8affff</t>
  </si>
  <si>
    <t>[515018, 515026, 521010, 516025, 516026]</t>
  </si>
  <si>
    <t>['BRT', 'LRT', 'Metro']</t>
  </si>
  <si>
    <t>BRT, רק"ל, מטרו</t>
  </si>
  <si>
    <t>["['M1-RA-RE', 'M1-RE-RA']", "['ART2-2', 'ART1-2', 'BRT1-1', 'BRT1-2', 'ART1-1', 'ART2-1']"]</t>
  </si>
  <si>
    <t>['M1-RA-RE', 'M1-RE-RA', 'אסף הרופא-חוף ראשל"צ (רק"ל)', 'אסף הרופא-מתחם ה-1000 (רק"ל)', 'תחנה מרכזית ראשל"צ-לוד (BRT)', 'לוד-תחנה מרכזית ראשל"צ (BRT)', 'מתחם ה-1000-אסף הרופא (רק"ל)', 'חוף ראשל"צ-אסף הרופא (רק"ל)']</t>
  </si>
  <si>
    <t>רוטשילד/ז'בוטינסקי, ראשון לציון</t>
  </si>
  <si>
    <t>8a2db0031907fff</t>
  </si>
  <si>
    <t>[511135]</t>
  </si>
  <si>
    <t>בן גוריון/כביש 57, כפר יונה</t>
  </si>
  <si>
    <t>8a2db0cd0ab7fff</t>
  </si>
  <si>
    <t>[521056, 523002, 400423]</t>
  </si>
  <si>
    <t>['Metro', 'Suburban Rail']</t>
  </si>
  <si>
    <t>מטרו, רכבת פרברית</t>
  </si>
  <si>
    <t>["['rail_20_1', 'rail_11_1', 'rail_20_2', 'rail_11_2']", "['M1-RA-RE', 'M1-RE-RA', 'M1-KS-LOD', 'M1-LOD-KS']", "['Me03-L', 'Me03-R']"]</t>
  </si>
  <si>
    <t>['מודיעין-באר שבע (רכבת פרברית)', 'זיכרון יעקב-שוקת (רכבת פרברית)', 'באר שבע-מודיעין (רכבת פרברית)', 'שוקת-זיכרון יעקב (רכבת פרברית)', 'M1-RA-RE', 'M1-RE-RA', 'M1-KS-LOD', 'M1-LOD-KS', 'הרצליה-בת ים (מטרו)', 'בת ים-הרצליה (מטרו)']</t>
  </si>
  <si>
    <t>תחנת רכבת בת ים-יוספטל</t>
  </si>
  <si>
    <t>8a2db0154b4ffff</t>
  </si>
  <si>
    <t>[984883, 400343]</t>
  </si>
  <si>
    <t>['Interurban Rail', 'Suburban Rail', 'BRT']</t>
  </si>
  <si>
    <t>רכבת בינעירונית, רכבת פרברית, BRT</t>
  </si>
  <si>
    <t>["['brt062', 'brt051']", "['rail_12_1', 'rail_11_1', 'rail_1_2', 'rail_1_1', 'rail_11_2', 'rail_12_2']"]</t>
  </si>
  <si>
    <t>['חדרה-אור עקיבא (BRT)', 'חדרה-באקה אל גרבייה (BRT)', 'זיכרון יעקב-אשקלון (רכבת פרברית)', 'זיכרון יעקב-שוקת (רכבת פרברית)', 'מודיעין-קרית שמונה (רכבת בינעירונית)', 'קרית שמונה-מודיעין (רכבת בינעירונית)', 'שוקת-זיכרון יעקב (רכבת פרברית)', 'אשקלון-זיכרון יעקב (רכבת פרברית)']</t>
  </si>
  <si>
    <t>תחנת רכבת חדרה-מערב</t>
  </si>
  <si>
    <t>8a2db018861ffff</t>
  </si>
  <si>
    <t>[511152]</t>
  </si>
  <si>
    <t>מגדל המים, טירה</t>
  </si>
  <si>
    <t>8a2db0504587fff</t>
  </si>
  <si>
    <t>[512161, 521006, 512111, 511035, 400350]</t>
  </si>
  <si>
    <t>["['Turquoise_S', 'Turquoise_N', 'Light-Blue_S']", "['Turquoise_S', 'Light-Blue_S']", "['rail_12_1', 'rail_19_1', 'rail_5_2', 'rail_19_2', 'rail_5_1', 'rail_12_2']", "['L1-S']", "['M1-RA-RE', 'M1-RE-RA']"]</t>
  </si>
  <si>
    <t>['רחובות-יבנה מזרח (רק"ל)', 'יבנה מזרח-רחובות (רק"ל)', 'יבנה מערב-רחובות (רק"ל)', 'זיכרון יעקב-אשקלון (רכבת פרברית)', 'מודיעין-אשדוד (רכבת פרברית)', 'אשקלון-כרמיאל (רכבת בינעירונית)', 'אשדוד-מודיעין (רכבת פרברית)', 'כרמיאל-אשקלון (רכבת בינעירונית)', 'אשקלון-זיכרון יעקב (רכבת פרברית)', 'רחובות-אשדוד (דרך הנמל) (רק"ל)', 'M1-RA-RE', 'M1-RE-RA']</t>
  </si>
  <si>
    <t>תחנת רכבת רחובות</t>
  </si>
  <si>
    <t>8a2db0010557fff</t>
  </si>
  <si>
    <t>[511146]</t>
  </si>
  <si>
    <t>שיח מסעוד, טייבה</t>
  </si>
  <si>
    <t>8a2db0521667fff</t>
  </si>
  <si>
    <t>[515049, 515021, 516023, 516024, 150620]</t>
  </si>
  <si>
    <t>["['BRT1-1', 'BRT1-2']", "['ART2-2', 'ART1-2', 'BRT1-1', 'BRT1-2', 'ART1-1', 'ART2-1']", "['ART1-2', 'ART1-1', 'ART2-1', 'ART2-2']"]</t>
  </si>
  <si>
    <t>['תחנה מרכזית ראשל"צ-לוד (BRT)', 'לוד-תחנה מרכזית ראשל"צ (BRT)', 'אסף הרופא-חוף ראשל"צ (רק"ל)', 'אסף הרופא-מתחם ה-1000 (רק"ל)', 'מתחם ה-1000-אסף הרופא (רק"ל)', 'חוף ראשל"צ-אסף הרופא (רק"ל)']</t>
  </si>
  <si>
    <t>רוטשילד/רמז, ראשון לציון</t>
  </si>
  <si>
    <t>8a2db050dcdffff</t>
  </si>
  <si>
    <t>[521080, 170132, 400310]</t>
  </si>
  <si>
    <t>['BRT', 'Interurban Rail', 'BRT', 'Metro']</t>
  </si>
  <si>
    <t>BRT, רכבת בינעירונית, BRT, מטרו</t>
  </si>
  <si>
    <t>["['rail_5_1', 'rail_5_2']", "['Yelw-N', 'M1-LOD-KS']", "['BRT1-1']"]</t>
  </si>
  <si>
    <t>['כרמיאל-אשקלון (רכבת בינעירונית)', 'אשקלון-כרמיאל (רכבת בינעירונית)', 'רצועת הנופש-צומת חולון (BRT)', 'M1-LOD-KS', 'תחנה מרכזית ראשל"צ-לוד (BRT)']</t>
  </si>
  <si>
    <t>תחנת רכבת לוד-גני אביב</t>
  </si>
  <si>
    <t>8a2db01b008ffff</t>
  </si>
  <si>
    <t>[400060, 511253, 511254, 525318]</t>
  </si>
  <si>
    <t>["['Hz-KS1', 'Hz-KS2']", "['rail_4_2', 'rail_4_1', 'rail_16_2', 'rail_10_2', 'rail_20_2', 'rail_1_2', 'rail_1_1', 'rail_11_2', 'rail_3_2', 'rail_16_1', 'rail_14_1', 'rail_10_1', 'rail_17_1', 'rail_14_2', 'rail_5_1', 'rail_5_2', 'rail_11_1', 'rail_20_1', 'rail_12_1', 'rail_17_2', 'rail_3_1', 'rail_12_2']", "['LRT132', 'LRT131', 'LRT121', 'LRT122']"]</t>
  </si>
  <si>
    <t>['כפר סבא-הרצליה (BRT)', 'הרצליה-כפר סבא (BRT)', 'באר שבע-עכו (רכבת בינעירונית)', 'עכו-באר שבע (רכבת בינעירונית)', 'בית שמש-הרצליה (רכבת פרברית)', 'הרצליה-בית שאן (רכבת פרברית)', 'באר שבע-מודיעין (רכבת פרברית)', 'מודיעין-קרית שמונה (רכבת בינעירונית)', 'קרית שמונה-מודיעין (רכבת בינעירונית)', 'שוקת-זיכרון יעקב (רכבת פרברית)', 'באר שבע-נהריה (רכבת בינעירונית)', 'הרצליה-בית שמש (רכבת פרברית)', 'נתניה-ירושלים (רכבת פרברית)', 'בית שאן-הרצליה (רכבת פרברית)', 'ראש העין-באר שבע (רכבת פרברית)', 'ירושלים-נתניה (רכבת פרברית)', 'כרמיאל-אשקלון (רכבת בינעירונית)', 'אשקלון-כרמיאל (רכבת בינעירונית)', 'זיכרון יעקב-שוקת (רכבת פרברית)', 'מודיעין-באר שבע (רכבת פרברית)', 'זיכרון יעקב-אשקלון (רכבת פרברית)', 'באר שבע-ראש העין (רכבת פרברית)', 'נהריה-באר שבע (רכבת בינעירונית)', 'אשקלון-זיכרון יעקב (רכבת פרברית)', 'הרצליה-נתניה מזרח (רק"ל)', 'נתניה מזרח-הרצליה (רק"ל)', 'נתניה מערב-הרצליה (רק"ל)', 'הרצליה-נתניה מערב (רק"ל)']</t>
  </si>
  <si>
    <t>תחנת רכבת הרצליה</t>
  </si>
  <si>
    <t>8a2db011b057fff</t>
  </si>
  <si>
    <t>[511132]</t>
  </si>
  <si>
    <t>צומת גנות הדר</t>
  </si>
  <si>
    <t>8a2db0536d07fff</t>
  </si>
  <si>
    <t>[400360, 512073, 511055, 512231]</t>
  </si>
  <si>
    <t>["['Light-Blue_S']", "['L2-N', 'L2-S']", "['rail_12_1', 'rail_19_1', 'rail_5_2', 'rail_19_2', 'rail_5_1', 'rail_12_2']", "['Turquoise_S', 'Turquoise_N', 'Light-Blue_S']"]</t>
  </si>
  <si>
    <t>['יבנה מערב-רחובות (רק"ל)', 'אשדוד-יבנה (דרך הנמל) (רק"ל)', 'יבנה-אשדוד (דרך הנמל) (רק"ל)', 'זיכרון יעקב-אשקלון (רכבת פרברית)', 'מודיעין-אשדוד (רכבת פרברית)', 'אשקלון-כרמיאל (רכבת בינעירונית)', 'אשדוד-מודיעין (רכבת פרברית)', 'כרמיאל-אשקלון (רכבת בינעירונית)', 'אשקלון-זיכרון יעקב (רכבת פרברית)', 'רחובות-יבנה מזרח (רק"ל)', 'יבנה מזרח-רחובות (רק"ל)']</t>
  </si>
  <si>
    <t>תחנת רכבת יבנה-מזרח</t>
  </si>
  <si>
    <t>8a2db0ccb6dffff</t>
  </si>
  <si>
    <t>[525573, 523022]</t>
  </si>
  <si>
    <t>["['RH-RG1', 'RG-RH2', 'RH-RG2', 'RG-RH1']", "['East-S', 'East-N', 'Me03-L', 'Me03-R']"]</t>
  </si>
  <si>
    <t>['ר"ג-כפר קאסם (BRT)', 'ראש העין-רמת גן (BRT)', 'ראש העין-רמת גן (BRT)', 'כפר קאסם-ר"ג (BRT)', 'צומת בילו-צומת רעננה (רק"ל)', 'צומת רעננה-צומת בילו (רק"ל)', 'הרצליה-בת ים (מטרו)', 'בת ים-הרצליה (מטרו)']</t>
  </si>
  <si>
    <t>גיסין/משה דיין, פתח תקווה</t>
  </si>
  <si>
    <t>8a2db01ada9ffff</t>
  </si>
  <si>
    <t>[511243]</t>
  </si>
  <si>
    <t>אורט הרמלין, נתניה</t>
  </si>
  <si>
    <t>8a2db0523227fff</t>
  </si>
  <si>
    <t>[521009, 400190]</t>
  </si>
  <si>
    <t>["['rail_20_1', 'rail_20_2']", "['M1-RA-RE', 'M1-RE-RA']"]</t>
  </si>
  <si>
    <t>['מודיעין-באר שבע (רכבת פרברית)', 'באר שבע-מודיעין (רכבת פרברית)', 'M1-RA-RE', 'M1-RE-RA']</t>
  </si>
  <si>
    <t>תחנת רכבת הראשונים</t>
  </si>
  <si>
    <t>8a2db0118037fff</t>
  </si>
  <si>
    <t>[511128, 400020]</t>
  </si>
  <si>
    <t>["['LRT132', 'LRT131']", "['rail_4_2', 'rail_11_2', 'rail_12_1', 'rail_4_1', 'rail_5_2', 'rail_14_1', 'rail_11_1', 'rail_3_1', 'rail_1_2', 'rail_1_1', 'rail_14_2', 'rail_5_1', 'rail_3_2', 'rail_12_2']"]</t>
  </si>
  <si>
    <t>['הרצליה-נתניה מזרח (רק"ל)', 'נתניה מזרח-הרצליה (רק"ל)', 'באר שבע-עכו (רכבת בינעירונית)', 'שוקת-זיכרון יעקב (רכבת פרברית)', 'זיכרון יעקב-אשקלון (רכבת פרברית)', 'עכו-באר שבע (רכבת בינעירונית)', 'אשקלון-כרמיאל (רכבת בינעירונית)', 'נתניה-ירושלים (רכבת פרברית)', 'זיכרון יעקב-שוקת (רכבת פרברית)', 'נהריה-באר שבע (רכבת בינעירונית)', 'מודיעין-קרית שמונה (רכבת בינעירונית)', 'קרית שמונה-מודיעין (רכבת בינעירונית)', 'ירושלים-נתניה (רכבת פרברית)', 'כרמיאל-אשקלון (רכבת בינעירונית)', 'באר שבע-נהריה (רכבת בינעירונית)', 'אשקלון-זיכרון יעקב (רכבת פרברית)']</t>
  </si>
  <si>
    <t>8a2db018328ffff</t>
  </si>
  <si>
    <t>[511155]</t>
  </si>
  <si>
    <t>צומת בית ברל</t>
  </si>
  <si>
    <t>[512038, 400424, 516009, 516008, 511037]</t>
  </si>
  <si>
    <t>['LRT', 'Suburban Rail', 'LRT']</t>
  </si>
  <si>
    <t>רק"ל, רכבת פרברית, רק"ל</t>
  </si>
  <si>
    <t>["['rail_20_1', 'ART2-2', 'rail_11_1', 'rail_20_2', 'ART1-2', 'ART1-1', 'ART2-1', 'rail_11_2']", "['Grn1-N']", "['Red2-N', 'Red-N']", "['ART1-2', 'ART1-1', 'ART2-1', 'ART2-2']"]</t>
  </si>
  <si>
    <t>['מודיעין-באר שבע (רכבת פרברית)', 'אסף הרופא-חוף ראשל"צ (רק"ל)', 'זיכרון יעקב-שוקת (רכבת פרברית)', 'באר שבע-מודיעין (רכבת פרברית)', 'אסף הרופא-מתחם ה-1000 (רק"ל)', 'מתחם ה-1000-אסף הרופא (רק"ל)', 'חוף ראשל"צ-אסף הרופא (רק"ל)', 'שוקת-זיכרון יעקב (רכבת פרברית)', 'ראשל"צ-עתידים (רק"ל)', 'ראשל"צ-פ"ת (קרית אריה) (רק"ל)', 'ראשל"צ-פ"ת (רק"ל)']</t>
  </si>
  <si>
    <t>תחנת רכבת משה דיין</t>
  </si>
  <si>
    <t>8a2db0cd6657fff</t>
  </si>
  <si>
    <t>8a2db01a8d67fff</t>
  </si>
  <si>
    <t>[400030, 511246]</t>
  </si>
  <si>
    <t>["['rail_14_1', 'rail_11_1', 'rail_11_2', 'rail_14_2']", "['LRT132', 'LRT131', 'LRT121', 'LRT122']"]</t>
  </si>
  <si>
    <t>['נתניה-ירושלים (רכבת פרברית)', 'זיכרון יעקב-שוקת (רכבת פרברית)', 'שוקת-זיכרון יעקב (רכבת פרברית)', 'ירושלים-נתניה (רכבת פרברית)', 'הרצליה-נתניה מזרח (רק"ל)', 'נתניה מזרח-הרצליה (רק"ל)', 'נתניה מערב-הרצליה (רק"ל)', 'הרצליה-נתניה מערב (רק"ל)']</t>
  </si>
  <si>
    <t>תחנת רכבת בית יהושוע</t>
  </si>
  <si>
    <t>[525321, 523026, 512039]</t>
  </si>
  <si>
    <t>['Metro', 'BRT', 'LRT']</t>
  </si>
  <si>
    <t>מטרו, BRT, רק"ל</t>
  </si>
  <si>
    <t>["['Hz-KS1', 'Hz-KS2']", "['Grn2-S', 'LRT132', 'LRT122']", "['Me03-L', 'Me03-R']"]</t>
  </si>
  <si>
    <t>['כפר סבא-הרצליה (BRT)', 'הרצליה-כפר סבא (BRT)', 'הרצליה-חולון (רק"ל)', 'הרצליה-נתניה מזרח (רק"ל)', 'הרצליה-נתניה מערב (רק"ל)', 'הרצליה-בת ים (מטרו)', 'בת ים-הרצליה (מטרו)']</t>
  </si>
  <si>
    <t>אבא אבן/נעמי שמר, הרצליה</t>
  </si>
  <si>
    <t>8a2db01b0c07fff</t>
  </si>
  <si>
    <t>8a2db0371c9ffff</t>
  </si>
  <si>
    <t>[36964, 36965, 35023, 34034, 36987, 36990]</t>
  </si>
  <si>
    <t>['BRT', 'LRT', 'BRT']</t>
  </si>
  <si>
    <t>BRT, רק"ל, BRT</t>
  </si>
  <si>
    <t>["['brt031', 'brt032']", "['brt042', 'brt031', 'brt032', 'brt041']", "['lrt03', 'lrt01', 'brt042', 'brt032', 'lrt05']"]</t>
  </si>
  <si>
    <t>['כפר ברוך-נצרת (BRT)', 'נצרת-כפר ברוך (BRT)', 'נצרת-עפולה (BRT)', 'עפולה-נצרת (BRT)', 'נצרת-חוף הכרמל (רק"ל)', 'נצרת-מרכזית המפרץ (רק"ל)', 'נצרת-אחיהוד (רק"ל)']</t>
  </si>
  <si>
    <t>כיכר המוסכים, נצרת</t>
  </si>
  <si>
    <t>8a2db019421ffff</t>
  </si>
  <si>
    <t>[521068]</t>
  </si>
  <si>
    <t>["['M1-LOD-KS', 'Yelw-N', 'Yelw-S', 'M1-KS-LOD']"]</t>
  </si>
  <si>
    <t>['M1-LOD-KS', 'רצועת הנופש-צומת חולון (BRT)', 'צומת חולון-רצועת הנופש (BRT)', 'M1-KS-LOD']</t>
  </si>
  <si>
    <t>תע"ש השרון - מזרח</t>
  </si>
  <si>
    <t>8a2db0564477fff</t>
  </si>
  <si>
    <t>[522012, 523012]</t>
  </si>
  <si>
    <t>['Metro', 'LRT', 'Metro']</t>
  </si>
  <si>
    <t>מטרו, רק"ל, מטרו</t>
  </si>
  <si>
    <t>["['East-S', 'Me03-L', 'Me03-R']", "['Me02-E', 'Me02-W']"]</t>
  </si>
  <si>
    <t>['צומת בילו-צומת רעננה (רק"ל)', 'הרצליה-בת ים (מטרו)', 'בת ים-הרצליה (מטרו)', 'וולפסון-סגולה (מטרו)', 'סגולה-וולפסון (מטרו)']</t>
  </si>
  <si>
    <t>כיכר יפה נוף, פתח תקווה</t>
  </si>
  <si>
    <t>[512089, 500092]</t>
  </si>
  <si>
    <t>["['Orange_N', 'Orange_S']", "['BRT_Blue_E', 'BRT_Blue_W']"]</t>
  </si>
  <si>
    <t>['אשקלון-אשדוד (כתום) (רק"ל)', 'אשדוד-אשקלון (כתום) (רק"ל)', 'אשקלון-קרית גת (כחול) (BRT)', 'קרית גת-אשקלון (כחול) (BRT)']</t>
  </si>
  <si>
    <t>8a2db6205d57fff</t>
  </si>
  <si>
    <t>8a2db0cd0957fff</t>
  </si>
  <si>
    <t>[523001, 511029]</t>
  </si>
  <si>
    <t>['Metro', 'LRT']</t>
  </si>
  <si>
    <t>מטרו, רק"ל</t>
  </si>
  <si>
    <t>["['Me03-L', 'Me03-R']", "['Red2-N', 'Red2-S', 'Red-S', 'Red-N']"]</t>
  </si>
  <si>
    <t>['הרצליה-בת ים (מטרו)', 'בת ים-הרצליה (מטרו)', 'ראשל"צ-פ"ת (קרית אריה) (רק"ל)', 'פ"ת (קרית אריה)-ראשל"צ (רק"ל)', 'פ"ת-ראשל"צ (רק"ל)', 'ראשל"צ-פ"ת (רק"ל)']</t>
  </si>
  <si>
    <t>ניסנבאום/יוספטל, בת ים</t>
  </si>
  <si>
    <t>8a2db01ac85ffff</t>
  </si>
  <si>
    <t>[511232]</t>
  </si>
  <si>
    <t>אהוד מנור/שוש עטרי, נתניה</t>
  </si>
  <si>
    <t>8a2db0015c87fff</t>
  </si>
  <si>
    <t>[511142]</t>
  </si>
  <si>
    <t>מועצה מקומית קלנסוואה</t>
  </si>
  <si>
    <t>8a2db05284c7fff</t>
  </si>
  <si>
    <t>[521052]</t>
  </si>
  <si>
    <t>8a2db0a5224ffff</t>
  </si>
  <si>
    <t>[1002, 34011]</t>
  </si>
  <si>
    <t>["['lrt03', 'lrt02', 'lrt01', 'lrt04']", "['R1002-2', 'R1002-1']"]</t>
  </si>
  <si>
    <t>['נצרת-חוף הכרמל (רק"ל)', 'מרכזית המפרץ-נצרת (רק"ל)', 'נצרת-מרכזית המפרץ (רק"ל)', 'חוף הכרמל-נצרת (רק"ל)', 'מרכזית הקריות-גילעם (דרך בן גוריון) (BRT)', 'גילעם-מרכזית הקריות (דרך בן גוריון) (BRT)']</t>
  </si>
  <si>
    <t>יצחק רבין/מנחם בגין, קרית אתא</t>
  </si>
  <si>
    <t>8a2db05349a7fff</t>
  </si>
  <si>
    <t>[400425, 511054]</t>
  </si>
  <si>
    <t>["['L2-S']", "['rail_20_1', 'rail_11_1', 'rail_20_2', 'rail_11_2']"]</t>
  </si>
  <si>
    <t>['יבנה-אשדוד (דרך הנמל) (רק"ל)', 'מודיעין-באר שבע (רכבת פרברית)', 'זיכרון יעקב-שוקת (רכבת פרברית)', 'באר שבע-מודיעין (רכבת פרברית)', 'שוקת-זיכרון יעקב (רכבת פרברית)']</t>
  </si>
  <si>
    <t>תחנת רכבת יבנה-מערב</t>
  </si>
  <si>
    <t>8a2db0118717fff</t>
  </si>
  <si>
    <t>[511259]</t>
  </si>
  <si>
    <t>פנקס/המסגר, נתניה</t>
  </si>
  <si>
    <t>8a2db0cc949ffff</t>
  </si>
  <si>
    <t>[523016, 512063]</t>
  </si>
  <si>
    <t>["['Grn1-S', 'Grn1-N']", "['Me03-L', 'Me03-R']"]</t>
  </si>
  <si>
    <t>['עתידים-ראשל"צ (רק"ל)', 'ראשל"צ-עתידים (רק"ל)', 'הרצליה-בת ים (מטרו)', 'בת ים-הרצליה (מטרו)']</t>
  </si>
  <si>
    <t>הארד/ולנברג, תל אביב</t>
  </si>
  <si>
    <t>8a2db0a56427fff</t>
  </si>
  <si>
    <t>[34006, 1014]</t>
  </si>
  <si>
    <t>["['lrt03', 'lrt01', 'lrt04', 'lrt02', 'lrt08', 'lrt07']", "['R331-1', 'R331-2']"]</t>
  </si>
  <si>
    <t>['נצרת-חוף הכרמל (רק"ל)', 'נצרת-מרכזית המפרץ (רק"ל)', 'חוף הכרמל-נצרת (רק"ל)', 'מרכזית המפרץ-נצרת (רק"ל)', 'חוף הכרמל-מרכזית הקריות (דרך 22) (רק"ל)', 'מרכזית הקריות-חוף הכרמל (דרך 22) (רק"ל)', 'גילעם-מרכז הכרמל (דרך המנהרות) (BRT)', 'מרכז הכרמל-גילעם (דרך המנהרות) (BRT)']</t>
  </si>
  <si>
    <t>מחלף קרית אתא דרום</t>
  </si>
  <si>
    <t>8a2db032c78ffff</t>
  </si>
  <si>
    <t>[31633, 36847]</t>
  </si>
  <si>
    <t>["['rail_7_1', 'rail_7_2', 'rail_10_2', 'rail_10_1']", "['brt031']"]</t>
  </si>
  <si>
    <t>['טבריה-עתלית (רכבת פרברית)', 'עתלית-טבריה (רכבת פרברית)', 'הרצליה-בית שאן (רכבת פרברית)', 'בית שאן-הרצליה (רכבת פרברית)', 'כפר ברוך-נצרת (BRT)']</t>
  </si>
  <si>
    <t>תחנת רכבת כפר ברוך</t>
  </si>
  <si>
    <t>8a2db0503047fff</t>
  </si>
  <si>
    <t>[525209, 400181]</t>
  </si>
  <si>
    <t>["['rail_19_2', 'rail_20_1', 'rail_20_2', 'rail_19_1']", "['East-S', 'East-N']"]</t>
  </si>
  <si>
    <t>['אשדוד-מודיעין (רכבת פרברית)', 'מודיעין-באר שבע (רכבת פרברית)', 'באר שבע-מודיעין (רכבת פרברית)', 'מודיעין-אשדוד (רכבת פרברית)', 'צומת בילו-צומת רעננה (רק"ל)', 'צומת רעננה-צומת בילו (רק"ל)']</t>
  </si>
  <si>
    <t>תחנת רכבת רמלה-דרום</t>
  </si>
  <si>
    <t>8a2db0183417fff</t>
  </si>
  <si>
    <t>[525295, 511159]</t>
  </si>
  <si>
    <t>["['LRT142', 'LRT141']", "['Hz-KS1', 'Hz-KS2']"]</t>
  </si>
  <si>
    <t>['כפ"ס-נתניה דרך טייבה/קלאנסווה (רק"ל)', 'נתניה-כפ"ס דרך טייבה/קלאנסווה (BRT)', 'כפר סבא-הרצליה (BRT)', 'הרצליה-כפר סבא (BRT)']</t>
  </si>
  <si>
    <t>בן יהודה/טשרניחובסקי, כפר סבא</t>
  </si>
  <si>
    <t>8a2db0cd3307fff</t>
  </si>
  <si>
    <t>[525240, 512049, 523005]</t>
  </si>
  <si>
    <t>['LRT', 'BRT', 'Metro']</t>
  </si>
  <si>
    <t>רק"ל, BRT, מטרו</t>
  </si>
  <si>
    <t>["['Grn2-N', 'Grn2-S']", "['Yelw-N', 'Yelw-S']", "['Me03-L', 'Me03-R']"]</t>
  </si>
  <si>
    <t>['חולון-הרצליה (רק"ל)', 'הרצליה-חולון (רק"ל)', 'רצועת הנופש-צומת חולון (BRT)', 'צומת חולון-רצועת הנופש (BRT)', 'הרצליה-בת ים (מטרו)', 'בת ים-הרצליה (מטרו)']</t>
  </si>
  <si>
    <t>המלאכה/הרוקמים, חולון</t>
  </si>
  <si>
    <t>8a2db0545caffff</t>
  </si>
  <si>
    <t>[400252, 525333]</t>
  </si>
  <si>
    <t>["['BBEld2', 'BBEld1']", "['rail_15_2', 'rail_13_1', 'rail_10_2', 'rail_10_1', 'rail_15_1', 'rail_13_2']"]</t>
  </si>
  <si>
    <t>['פ"ת-אלעד (BRT)', 'אלעד-פ"ת (BRT)', 'שוקת-חדרה (רכבת פרברית)', 'חריש-ירושלים (רכבת פרברית)', 'הרצליה-בית שאן (רכבת פרברית)', 'בית שאן-הרצליה (רכבת פרברית)', 'חדרה-שוקת (רכבת פרברית)', 'ירושלים-חריש (רכבת פרברית)']</t>
  </si>
  <si>
    <t>תחנת רכבת אלעד</t>
  </si>
  <si>
    <t>8a2db6205547fff</t>
  </si>
  <si>
    <t>[282738, 500094]</t>
  </si>
  <si>
    <t>["['BRT_Blue_W', 'Orange_N', 'BRT_Blue_E', 'Orange_S']"]</t>
  </si>
  <si>
    <t>['קרית גת-אשקלון (כחול) (BRT)', 'אשקלון-אשדוד (כתום) (רק"ל)', 'אשקלון-קרית גת (כחול) (BRT)', 'אשדוד-אשקלון (כתום) (רק"ל)']</t>
  </si>
  <si>
    <t>8a2db0a52227fff</t>
  </si>
  <si>
    <t>[34010, 1003]</t>
  </si>
  <si>
    <t>["['lrt03', 'lrt02', 'lrt01', 'lrt04']", "['R1001-2', 'R1002-1', 'R1001-1', 'R1002-2', 'R331-2', 'R331-1']"]</t>
  </si>
  <si>
    <t>['נצרת-חוף הכרמל (רק"ל)', 'מרכזית המפרץ-נצרת (רק"ל)', 'נצרת-מרכזית המפרץ (רק"ל)', 'חוף הכרמל-נצרת (רק"ל)', 'מרכזית הקריות-גילעם (דרך הקריון) (BRT)', 'גילעם-מרכזית הקריות (דרך בן גוריון) (BRT)', 'גילעם-מרכזית הקריות (דרך הקריון) (BRT)', 'מרכזית הקריות-גילעם (דרך בן גוריון) (BRT)', 'מרכז הכרמל-גילעם (דרך המנהרות) (BRT)', 'גילעם-מרכז הכרמל (דרך המנהרות) (BRT)']</t>
  </si>
  <si>
    <t>אצטדיון קרית אתא</t>
  </si>
  <si>
    <t>8a2db0118677fff</t>
  </si>
  <si>
    <t>[511258, 511203, 511130]</t>
  </si>
  <si>
    <t>['BRT', 'LRT', 'LRT']</t>
  </si>
  <si>
    <t>BRT, רק"ל, רק"ל</t>
  </si>
  <si>
    <t>["['LRT142', 'LRT132', 'LRT141', 'LRT131']", "['LRT132', 'LRT131']"]</t>
  </si>
  <si>
    <t>['כפ"ס-נתניה דרך טייבה/קלאנסווה (רק"ל)', 'הרצליה-נתניה מזרח (רק"ל)', 'נתניה-כפ"ס דרך טייבה/קלאנסווה (BRT)', 'נתניה מזרח-הרצליה (רק"ל)']</t>
  </si>
  <si>
    <t>כביש 57/דרך דגניה, נתניה</t>
  </si>
  <si>
    <t>8a2db056434ffff</t>
  </si>
  <si>
    <t>[523014]</t>
  </si>
  <si>
    <t>["['East-S', 'East-N', 'Me03-L', 'Me03-R']"]</t>
  </si>
  <si>
    <t>['צומת בילו-צומת רעננה (רק"ל)', 'צומת רעננה-צומת בילו (רק"ל)', 'הרצליה-בת ים (מטרו)', 'בת ים-הרצליה (מטרו)']</t>
  </si>
  <si>
    <t>בית חולים בילינסון</t>
  </si>
  <si>
    <t>8a2db052e397fff</t>
  </si>
  <si>
    <t>[516032, 515014]</t>
  </si>
  <si>
    <t>["['ART2-2', 'ART1-2', 'BRT1-1', 'BRT1-2', 'ART1-1', 'ART2-1']"]</t>
  </si>
  <si>
    <t>['אסף הרופא-חוף ראשל"צ (רק"ל)', 'אסף הרופא-מתחם ה-1000 (רק"ל)', 'תחנה מרכזית ראשל"צ-לוד (BRT)', 'לוד-תחנה מרכזית ראשל"צ (BRT)', 'מתחם ה-1000-אסף הרופא (רק"ל)', 'חוף ראשל"צ-אסף הרופא (רק"ל)']</t>
  </si>
  <si>
    <t>השומר/ירושלים, ראשון לציון</t>
  </si>
  <si>
    <t>8a2db01187b7fff</t>
  </si>
  <si>
    <t>[511260]</t>
  </si>
  <si>
    <t>פנקס/האורג, נתניה</t>
  </si>
  <si>
    <t>8a2db00a580ffff</t>
  </si>
  <si>
    <t>[511263]</t>
  </si>
  <si>
    <t>צומת טירה</t>
  </si>
  <si>
    <t>8a2db0cd06e7fff</t>
  </si>
  <si>
    <t>[512032, 521055]</t>
  </si>
  <si>
    <t>["['M1-RE-RA', 'M1-LOD-KS', 'Grn1-N', 'M1-RA-RE', 'Grn3-N', 'Grn1-S', 'Grn3-S', 'M1-KS-LOD']"]</t>
  </si>
  <si>
    <t>['M1-RE-RA', 'M1-LOD-KS', 'ראשל"צ-עתידים (רק"ל)', 'M1-RA-RE', 'חולון-אונ\' ת"א (רק"ל)', 'עתידים-ראשל"צ (רק"ל)', 'אונ\' ת"א-חולון (רק"ל)', 'M1-KS-LOD']</t>
  </si>
  <si>
    <t>אהוד מנור/בגין, חולון</t>
  </si>
  <si>
    <t>8a2db620570ffff</t>
  </si>
  <si>
    <t>[500096, 282739]</t>
  </si>
  <si>
    <t>8a2db0182557fff</t>
  </si>
  <si>
    <t>[511164, 400500, 511165]</t>
  </si>
  <si>
    <t>['LRT', 'BRT', 'Suburban Rail']</t>
  </si>
  <si>
    <t>רק"ל, BRT, רכבת פרברית</t>
  </si>
  <si>
    <t>["['LRT141']", "['LRT142', 'LRT-L1', 'LRT-L2']", "['rail_17_1', 'rail_20_2', 'rail_20_1', 'rail_17_2']"]</t>
  </si>
  <si>
    <t>['נתניה-כפ"ס דרך טייבה/קלאנסווה (BRT)', 'כפ"ס-נתניה דרך טייבה/קלאנסווה (רק"ל)', 'נתניה-אשדוד (רק"ל)', 'אשדוד-נתניה (רק"ל)', 'ראש העין-באר שבע (רכבת פרברית)', 'באר שבע-מודיעין (רכבת פרברית)', 'מודיעין-באר שבע (רכבת פרברית)', 'באר שבע-ראש העין (רכבת פרברית)']</t>
  </si>
  <si>
    <t>תחנת רכבת רעננה דרום</t>
  </si>
  <si>
    <t>8a2db0066057fff</t>
  </si>
  <si>
    <t>[30025, 984890]</t>
  </si>
  <si>
    <t>["['brt052', 'brt051']", "['rail_13_2', 'rail_13_1']"]</t>
  </si>
  <si>
    <t>['באקה אל גרבייה-חדרה (BRT)', 'חדרה-באקה אל גרבייה (BRT)', 'ירושלים-חריש (רכבת פרברית)', 'חריש-ירושלים (רכבת פרברית)']</t>
  </si>
  <si>
    <t>ברקאי/חריש</t>
  </si>
  <si>
    <t>8a2db052e66ffff</t>
  </si>
  <si>
    <t>[515075, 516035]</t>
  </si>
  <si>
    <t>קלאוזנר/ירושלים, ראשון לציון</t>
  </si>
  <si>
    <t>8a2db050e54ffff</t>
  </si>
  <si>
    <t>[400410, 521045]</t>
  </si>
  <si>
    <t>['Interurban Rail', 'Suburban Rail', 'BRT', 'LRT', 'Metro']</t>
  </si>
  <si>
    <t>רכבת בינעירונית, רכבת פרברית, BRT, רק"ל, מטרו</t>
  </si>
  <si>
    <t>["['rail_4_2', 'Yelw-N', 'Yelw-S', 'rail_4_1', 'M1-LOD-KS', 'rail_16_1', 'rail_16_2', 'East-N', 'East-S', 'rail_17_2', 'rail_3_1', 'rail_17_1', 'M1-KS-LOD', 'rail_3_2']"]</t>
  </si>
  <si>
    <t>['באר שבע-עכו (רכבת בינעירונית)', 'רצועת הנופש-צומת חולון (BRT)', 'צומת חולון-רצועת הנופש (BRT)', 'עכו-באר שבע (רכבת בינעירונית)', 'M1-LOD-KS', 'הרצליה-בית שמש (רכבת פרברית)', 'בית שמש-הרצליה (רכבת פרברית)', 'צומת רעננה-צומת בילו (רק"ל)', 'צומת בילו-צומת רעננה (רק"ל)', 'באר שבע-ראש העין (רכבת פרברית)', 'נהריה-באר שבע (רכבת בינעירונית)', 'ראש העין-באר שבע (רכבת פרברית)', 'M1-KS-LOD', 'באר שבע-נהריה (רכבת בינעירונית)']</t>
  </si>
  <si>
    <t>תחנת רכבת רמלה</t>
  </si>
  <si>
    <t>8a2db0cd02c7fff</t>
  </si>
  <si>
    <t>[523003, 512030]</t>
  </si>
  <si>
    <t>["['Grn3-N', 'Grn1-S', 'Grn1-N', 'Grn3-S']", "['Me03-L', 'Me03-R']"]</t>
  </si>
  <si>
    <t>['חולון-אונ\' ת"א (רק"ל)', 'עתידים-ראשל"צ (רק"ל)', 'ראשל"צ-עתידים (רק"ל)', 'אונ\' ת"א-חולון (רק"ל)', 'הרצליה-בת ים (מטרו)', 'בת ים-הרצליה (מטרו)']</t>
  </si>
  <si>
    <t>HIT חולון</t>
  </si>
  <si>
    <t>[515072, 521035, 521044, 515037]</t>
  </si>
  <si>
    <t>['BRT', 'Metro', 'LRT', 'BRT']</t>
  </si>
  <si>
    <t>BRT, מטרו, רק"ל, BRT</t>
  </si>
  <si>
    <t>["['Yelw-N', 'M1-LOD-KS', 'Yelw-S', 'East-N', 'East-S', 'M1-KS-LOD']", "['BRT2-1', 'BRT1-1', 'BRT1-2', 'BRT2-2']"]</t>
  </si>
  <si>
    <t>['רצועת הנופש-צומת חולון (BRT)', 'M1-LOD-KS', 'צומת חולון-רצועת הנופש (BRT)', 'צומת רעננה-צומת בילו (רק"ל)', 'צומת בילו-צומת רעננה (רק"ל)', 'M1-KS-LOD', 'אסף הרופא-אירפורט סיטי (BRT)', 'תחנה מרכזית ראשל"צ-לוד (BRT)', 'לוד-תחנה מרכזית ראשל"צ (BRT)', 'אירפורא סיטי-אסף הרופא (BRT)']</t>
  </si>
  <si>
    <t>שדרות ירושלים/הרמ"א, רמלה</t>
  </si>
  <si>
    <t>8a2db050e21ffff</t>
  </si>
  <si>
    <t>8a2db0cc8127fff</t>
  </si>
  <si>
    <t>[525234, 512005]</t>
  </si>
  <si>
    <t>["['Grn1-S', 'Grn1-N', 'Grn3-S']", "['Yelw-N', 'Yelw-S']"]</t>
  </si>
  <si>
    <t>['עתידים-ראשל"צ (רק"ל)', 'ראשל"צ-עתידים (רק"ל)', 'אונ\' ת"א-חולון (רק"ל)', 'רצועת הנופש-צומת חולון (BRT)', 'צומת חולון-רצועת הנופש (BRT)']</t>
  </si>
  <si>
    <t>בכור שטרית/רוקח, תל אביב</t>
  </si>
  <si>
    <t>8a2db050832ffff</t>
  </si>
  <si>
    <t>[515801, 521078]</t>
  </si>
  <si>
    <t>['BRT', 'LRT', 'Metro', 'BRT']</t>
  </si>
  <si>
    <t>BRT, רק"ל, מטרו, BRT</t>
  </si>
  <si>
    <t>["['Yelw-N', 'Yelw-S', 'M1-LOD-KS', 'East-S', 'East-N', 'M1-KS-LOD']", "['BRT2-1', 'BRT1-1', 'BRT1-2', 'BRT2-2']"]</t>
  </si>
  <si>
    <t>['רצועת הנופש-צומת חולון (BRT)', 'צומת חולון-רצועת הנופש (BRT)', 'M1-LOD-KS', 'צומת בילו-צומת רעננה (רק"ל)', 'צומת רעננה-צומת בילו (רק"ל)', 'M1-KS-LOD', 'אסף הרופא-אירפורט סיטי (BRT)', 'תחנה מרכזית ראשל"צ-לוד (BRT)', 'לוד-תחנה מרכזית ראשל"צ (BRT)', 'אירפורא סיטי-אסף הרופא (BRT)']</t>
  </si>
  <si>
    <t>אבא הלל סילבר/מבצע יונתן</t>
  </si>
  <si>
    <t>8a2db001086ffff</t>
  </si>
  <si>
    <t>[511143]</t>
  </si>
  <si>
    <t>תחנת רכבת טייבה</t>
  </si>
  <si>
    <t>8a2db620441ffff</t>
  </si>
  <si>
    <t>[500193, 512094]</t>
  </si>
  <si>
    <t>["['BRT_Pink_E', 'Orange_N', 'BRT_Pink_W', 'Orange_S']"]</t>
  </si>
  <si>
    <t>['אשקלון-קרית גת (ורוד) (BRT)', 'אשקלון-אשדוד (כתום) (רק"ל)', 'קרית גת-אשקלון (ורוד) (BRT)', 'אשדוד-אשקלון (כתום) (רק"ל)']</t>
  </si>
  <si>
    <t>8a2db01ad02ffff</t>
  </si>
  <si>
    <t>[511221]</t>
  </si>
  <si>
    <t>["['LRT142', 'LRT141', 'LRT121', 'LRT122']"]</t>
  </si>
  <si>
    <t>['כפ"ס-נתניה דרך טייבה/קלאנסווה (רק"ל)', 'נתניה-כפ"ס דרך טייבה/קלאנסווה (BRT)', 'נתניה מערב-הרצליה (רק"ל)', 'הרצליה-נתניה מערב (רק"ל)']</t>
  </si>
  <si>
    <t>הגביש/טרומן, נתניה</t>
  </si>
  <si>
    <t>8a2db05668d7fff</t>
  </si>
  <si>
    <t>[523025]</t>
  </si>
  <si>
    <t>לוי אשכול/וולך, קרית אונו</t>
  </si>
  <si>
    <t>8a2db00a5b67fff</t>
  </si>
  <si>
    <t>[511148]</t>
  </si>
  <si>
    <t>צומת צור נתן</t>
  </si>
  <si>
    <t>8a2db0191117fff</t>
  </si>
  <si>
    <t>[521071]</t>
  </si>
  <si>
    <t>["['East-S', 'East-N', 'M1-LOD-KS', 'M1-KS-LOD']"]</t>
  </si>
  <si>
    <t>['צומת בילו-צומת רעננה (רק"ל)', 'צומת רעננה-צומת בילו (רק"ל)', 'M1-LOD-KS', 'M1-KS-LOD']</t>
  </si>
  <si>
    <t>מגדיאל/רמתיים, הוד השרון</t>
  </si>
  <si>
    <t>8a2db62602dffff</t>
  </si>
  <si>
    <t>[511086, 525478, 512270]</t>
  </si>
  <si>
    <t>["['RedS', 'RedN']", "['RH-GY1']", "['L2-N', 'L2-S', 'L1-N', 'L1-S']"]</t>
  </si>
  <si>
    <t>['אשדוד-אשקלון (אדום) (רק"ל)', 'אשקלון-אשדוד (אדום) (רק"ל)', 'רחובות-גן יבנה (דרך אשדוד) (BRT)', 'אשדוד-יבנה (דרך הנמל) (רק"ל)', 'יבנה-אשדוד (דרך הנמל) (רק"ל)', 'אשדוד-רחובות (דרך הנמל) (רק"ל)', 'רחובות-אשדוד (דרך הנמל) (רק"ל)']</t>
  </si>
  <si>
    <t>היהלומים/הבנאים, אשדוד</t>
  </si>
  <si>
    <t>8a2db0cdb85ffff</t>
  </si>
  <si>
    <t>[523023]</t>
  </si>
  <si>
    <t>תל השומר, אונקולוגיה</t>
  </si>
  <si>
    <t>8a2db0508547fff</t>
  </si>
  <si>
    <t>[521043]</t>
  </si>
  <si>
    <t>["['Yelw-N', 'Yelw-S', 'M1-LOD-KS', 'East-S', 'East-N', 'M1-KS-LOD']"]</t>
  </si>
  <si>
    <t>['רצועת הנופש-צומת חולון (BRT)', 'צומת חולון-רצועת הנופש (BRT)', 'M1-LOD-KS', 'צומת בילו-צומת רעננה (רק"ל)', 'צומת רעננה-צומת בילו (רק"ל)', 'M1-KS-LOD']</t>
  </si>
  <si>
    <t>קניון לוד</t>
  </si>
  <si>
    <t>8a2db62614effff</t>
  </si>
  <si>
    <t>[525481, 511046]</t>
  </si>
  <si>
    <t>["['RH-GY1']", "['L2-N', 'L2-S', 'L1-N', 'L1-S']"]</t>
  </si>
  <si>
    <t>['רחובות-גן יבנה (דרך אשדוד) (BRT)', 'אשדוד-יבנה (דרך הנמל) (רק"ל)', 'יבנה-אשדוד (דרך הנמל) (רק"ל)', 'אשדוד-רחובות (דרך הנמל) (רק"ל)', 'רחובות-אשדוד (דרך הנמל) (רק"ל)']</t>
  </si>
  <si>
    <t>צומת בני ברית</t>
  </si>
  <si>
    <t>8a2db000676ffff</t>
  </si>
  <si>
    <t>[511139]</t>
  </si>
  <si>
    <t>צומת בארותיים</t>
  </si>
  <si>
    <t>8a2db01b3157fff</t>
  </si>
  <si>
    <t>[525313, 521034]</t>
  </si>
  <si>
    <t>['Metro', 'BRT']</t>
  </si>
  <si>
    <t>מטרו, BRT</t>
  </si>
  <si>
    <t>בן גוריון/סוקולוב, הרצליה</t>
  </si>
  <si>
    <t>8a2db0cdb447fff</t>
  </si>
  <si>
    <t>[523010]</t>
  </si>
  <si>
    <t>צומת נווה סביון</t>
  </si>
  <si>
    <t>8a2db052a82ffff</t>
  </si>
  <si>
    <t>[515008, 525559, 516039]</t>
  </si>
  <si>
    <t>["['ART2-2', 'ART1-2', 'BRT1-1', 'BRT1-2', 'ART1-1', 'ART2-1']", "['ART1-2', 'ART1-1', 'ART2-1', 'ART2-2']"]</t>
  </si>
  <si>
    <t>הנוריות, ראשון לציון</t>
  </si>
  <si>
    <t>8a2db6231c57fff</t>
  </si>
  <si>
    <t>[500188, 512166]</t>
  </si>
  <si>
    <t>["['Orange_N', 'RedS', 'RedN', 'Orange_S']", "['BRT_Pink_E']"]</t>
  </si>
  <si>
    <t>['אשקלון-אשדוד (כתום) (רק"ל)', 'אשדוד-אשקלון (אדום) (רק"ל)', 'אשקלון-אשדוד (אדום) (רק"ל)', 'אשדוד-אשקלון (כתום) (רק"ל)', 'אשקלון-קרית גת (ורוד) (BRT)']</t>
  </si>
  <si>
    <t>8a2db0118777fff</t>
  </si>
  <si>
    <t>[511129]</t>
  </si>
  <si>
    <t>["['LRT142', 'LRT132', 'LRT141', 'LRT131']"]</t>
  </si>
  <si>
    <t>כביש 57/פנקס, נתניה</t>
  </si>
  <si>
    <t>8a2db052aa4ffff</t>
  </si>
  <si>
    <t>[521049, 515010, 516043, 515074]</t>
  </si>
  <si>
    <t>['BRT', 'LRT', 'BRT', 'BRT', 'Metro']</t>
  </si>
  <si>
    <t>BRT, רק"ל, BRT, BRT, מטרו</t>
  </si>
  <si>
    <t>["['BRT2-1', 'BRT2-2']", "['M1-LOD-KS', 'Yelw-N', 'Yelw-S', 'M1-KS-LOD']", "['ART1-1', 'ART2-1', 'BRT2-2']"]</t>
  </si>
  <si>
    <t>['אסף הרופא-אירפורט סיטי (BRT)', 'אירפורא סיטי-אסף הרופא (BRT)', 'M1-LOD-KS', 'רצועת הנופש-צומת חולון (BRT)', 'צומת חולון-רצועת הנופש (BRT)', 'M1-KS-LOD', 'מתחם ה-1000-אסף הרופא (רק"ל)', 'חוף ראשל"צ-אסף הרופא (רק"ל)']</t>
  </si>
  <si>
    <t>אסף הרופא</t>
  </si>
  <si>
    <t>8a2db003164ffff</t>
  </si>
  <si>
    <t>[511138]</t>
  </si>
  <si>
    <t>צומת תנובות</t>
  </si>
  <si>
    <t>8a2db0561487fff</t>
  </si>
  <si>
    <t>[525339, 522015]</t>
  </si>
  <si>
    <t>["['BBEld1']", "['Me02-E', 'Me02-W']"]</t>
  </si>
  <si>
    <t>['אלעד-פ"ת (BRT)', 'וולפסון-סגולה (מטרו)', 'סגולה-וולפסון (מטרו)']</t>
  </si>
  <si>
    <t>צומת סירקין</t>
  </si>
  <si>
    <t>8a2db6200177fff</t>
  </si>
  <si>
    <t>[512100, 500109]</t>
  </si>
  <si>
    <t>["['BRT_Pink_E', 'BRT_Pink_W']", "['RedS', 'RedN']"]</t>
  </si>
  <si>
    <t>['אשקלון-קרית גת (ורוד) (BRT)', 'קרית גת-אשקלון (ורוד) (BRT)', 'אשדוד-אשקלון (אדום) (רק"ל)', 'אשקלון-אשדוד (אדום) (רק"ל)']</t>
  </si>
  <si>
    <t>8a2db052a4e7fff</t>
  </si>
  <si>
    <t>[515006, 521047]</t>
  </si>
  <si>
    <t>['BRT', 'BRT', 'Metro']</t>
  </si>
  <si>
    <t>BRT, BRT, מטרו</t>
  </si>
  <si>
    <t>["['BRT2-1', 'BRT2-2']", "['M1-LOD-KS', 'Yelw-N', 'Yelw-S', 'M1-KS-LOD']"]</t>
  </si>
  <si>
    <t>['אסף הרופא-אירפורט סיטי (BRT)', 'אירפורא סיטי-אסף הרופא (BRT)', 'M1-LOD-KS', 'רצועת הנופש-צומת חולון (BRT)', 'צומת חולון-רצועת הנופש (BRT)', 'M1-KS-LOD']</t>
  </si>
  <si>
    <t>8a2db0190b87fff</t>
  </si>
  <si>
    <t>[521069]</t>
  </si>
  <si>
    <t>המחתרות, הוד השרון</t>
  </si>
  <si>
    <t>8a2db057616ffff</t>
  </si>
  <si>
    <t>[524002, 400415]</t>
  </si>
  <si>
    <t>["['rail_1_1', 'rail_14_1', 'rail_10_2', 'rail_9_1', 'rail_10_1', 'rail_2_1', 'rail_1_2', 'rail_8_2', 'rail_2_2', 'rail_8_1', 'rail_9_2', 'rail_14_2']", "['East-S', 'East-N']"]</t>
  </si>
  <si>
    <t>['קרית שמונה-מודיעין (רכבת בינעירונית)', 'נתניה-ירושלים (רכבת פרברית)', 'הרצליה-בית שאן (רכבת פרברית)', 'חיפה-באר שבע (רכבת מהירה)', 'בית שאן-הרצליה (רכבת פרברית)', 'נהריה-אילת (רכבת מהירה)', 'מודיעין-קרית שמונה (רכבת בינעירונית)', 'ירושלים-חיפה (רכבת מהירה)', 'אילת-נהריה (רכבת מהירה)', 'חיפה-ירושלים (רכבת מהירה)', 'באר שבע-חיפה (רכבת מהירה)', 'ירושלים-נתניה (רכבת פרברית)', 'צומת בילו-צומת רעננה (רק"ל)', 'צומת רעננה-צומת בילו (רק"ל)']</t>
  </si>
  <si>
    <t>נמל התעופה בן גוריון</t>
  </si>
  <si>
    <t>8a2db018a967fff</t>
  </si>
  <si>
    <t>[511153]</t>
  </si>
  <si>
    <t>צומת רמת הכובש</t>
  </si>
  <si>
    <t>8a2db0501c6ffff</t>
  </si>
  <si>
    <t>[515073, 521053]</t>
  </si>
  <si>
    <t>8a2db01915b7fff</t>
  </si>
  <si>
    <t>[525203]</t>
  </si>
  <si>
    <t>["['M1-LOD-KS', 'Yelw-S', 'East-S', 'East-N', 'M1-KS-LOD']"]</t>
  </si>
  <si>
    <t>['M1-LOD-KS', 'צומת חולון-רצועת הנופש (BRT)', 'צומת בילו-צומת רעננה (רק"ל)', 'צומת רעננה-צומת בילו (רק"ל)', 'M1-KS-LOD']</t>
  </si>
  <si>
    <t>ירקונה/רמתיים, הוד השרון</t>
  </si>
  <si>
    <t>8a2db052a9affff</t>
  </si>
  <si>
    <t>[516037, 515013]</t>
  </si>
  <si>
    <t>קרית חינוך יצחק נבון, ראשון לציון</t>
  </si>
  <si>
    <t>8a2db050d697fff</t>
  </si>
  <si>
    <t>[515019, 521079]</t>
  </si>
  <si>
    <t>["['Yelw-N', 'Yelw-S', 'M1-LOD-KS', 'BRT1-1', 'BRT1-2', 'M1-KS-LOD']"]</t>
  </si>
  <si>
    <t>['רצועת הנופש-צומת חולון (BRT)', 'צומת חולון-רצועת הנופש (BRT)', 'M1-LOD-KS', 'תחנה מרכזית ראשל"צ-לוד (BRT)', 'לוד-תחנה מרכזית ראשל"צ (BRT)', 'M1-KS-LOD']</t>
  </si>
  <si>
    <t>8a2db0509d87fff</t>
  </si>
  <si>
    <t>[525088, 515070, 515078]</t>
  </si>
  <si>
    <t>["['East-S', 'M1-LOD-KS', 'M1-KS-LOD']", "['BRT2-1', 'BRT1-1', 'BRT1-2', 'BRT2-2']"]</t>
  </si>
  <si>
    <t>['צומת בילו-צומת רעננה (רק"ל)', 'M1-LOD-KS', 'M1-KS-LOD', 'אסף הרופא-אירפורט סיטי (BRT)', 'תחנה מרכזית ראשל"צ-לוד (BRT)', 'לוד-תחנה מרכזית ראשל"צ (BRT)', 'אירפורא סיטי-אסף הרופא (BRT)']</t>
  </si>
  <si>
    <t>אבא הלל סילבר/נדא, לוד</t>
  </si>
  <si>
    <t>8a2db052a057fff</t>
  </si>
  <si>
    <t>[521048, 515048]</t>
  </si>
  <si>
    <t>8a2db0501777fff</t>
  </si>
  <si>
    <t>[521046]</t>
  </si>
  <si>
    <t>8a2db0194aa7fff</t>
  </si>
  <si>
    <t>[521067]</t>
  </si>
  <si>
    <t>תע"ש השרון - מערב</t>
  </si>
  <si>
    <t>8a2db0566d07fff</t>
  </si>
  <si>
    <t>[523024]</t>
  </si>
  <si>
    <t>שלמה המלך/נחל גמלא, קרית אונו</t>
  </si>
  <si>
    <t>8a2db052c70ffff</t>
  </si>
  <si>
    <t>[521051]</t>
  </si>
  <si>
    <t>8a2db050ed77fff</t>
  </si>
  <si>
    <t>[521041, 515041]</t>
  </si>
  <si>
    <t>8a2db0528c9ffff</t>
  </si>
  <si>
    <t>[521050]</t>
  </si>
  <si>
    <t>8a2db0190207fff</t>
  </si>
  <si>
    <t>[521070]</t>
  </si>
  <si>
    <t>תיכון הדרים, הוד השרון</t>
  </si>
  <si>
    <t>8a2db01988affff</t>
  </si>
  <si>
    <t>[525290, 521077]</t>
  </si>
  <si>
    <t>["['M1-KS-LOD']", "['Hz-KS1', 'Hz-KS2']"]</t>
  </si>
  <si>
    <t>['M1-KS-LOD', 'כפר סבא-הרצליה (BRT)', 'הרצליה-כפר סבא (BRT)']</t>
  </si>
  <si>
    <t>Line_Names_forPlot</t>
  </si>
  <si>
    <t>RankByHubTypeMetro</t>
  </si>
  <si>
    <t>צריפין מרכז</t>
  </si>
  <si>
    <t>צריפין דרום</t>
  </si>
  <si>
    <t>הרצוג/צריפין</t>
  </si>
  <si>
    <t>פרידמן/בורג, ראשל"צ</t>
  </si>
  <si>
    <t>המכבים/הציונות, ראשל"צ</t>
  </si>
  <si>
    <t>משה שרת/גולד מאיר, רמלה</t>
  </si>
  <si>
    <t>בר אילן/ויצמן, רמלה</t>
  </si>
  <si>
    <t>המחקר/המסגר, לוד</t>
  </si>
  <si>
    <t>א.ת דרום, אשקלון</t>
  </si>
  <si>
    <t>יצחק רבין/עמק יזרעאל, אשקלון</t>
  </si>
  <si>
    <t>בן גוריון/התעשייה, אשקלון</t>
  </si>
  <si>
    <t>יצחק רבין/מנחם בגין, אשקלון</t>
  </si>
  <si>
    <t>מנחם בגין/אקסודוס, אשקלון</t>
  </si>
  <si>
    <t>מנחם בגין/הבוצרים, אשקלון</t>
  </si>
  <si>
    <t>תחנת רכבת קרית גת</t>
  </si>
  <si>
    <t>תחנת רכבת ירושלים-החאן</t>
  </si>
  <si>
    <t>נווה דורון, רמלה</t>
  </si>
  <si>
    <t>הורוביץ/הפועל, כפר סבא</t>
  </si>
  <si>
    <t>התדהר/התעשייה, רעננה</t>
  </si>
  <si>
    <t>תחנת רכבת נתניה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</si>
</sst>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95A78B-CCA1-4CAD-9578-A584265EA57A}" name="טבלה1" displayName="טבלה1" ref="A1:BR143" totalsRowShown="0">
  <autoFilter ref="A1:BR143" xr:uid="{3995A78B-CCA1-4CAD-9578-A584265EA57A}"/>
  <sortState xmlns:xlrd2="http://schemas.microsoft.com/office/spreadsheetml/2017/richdata2" ref="A8:BR143">
    <sortCondition ref="A1:A143"/>
  </sortState>
  <tableColumns count="70">
    <tableColumn id="1" xr3:uid="{1E53D47B-B579-4D47-B6E9-9C21A20F9AC6}" name="group"/>
    <tableColumn id="2" xr3:uid="{D1CB9BD0-D34E-4668-9529-DFFB42BE12EB}" name="x"/>
    <tableColumn id="3" xr3:uid="{BE0CBA28-369F-49FF-A3D2-19C5DA1564B7}" name="y"/>
    <tableColumn id="4" xr3:uid="{8309824A-DFB7-421B-AD1A-734F1386444C}" name="h3_index"/>
    <tableColumn id="5" xr3:uid="{8BA386C3-FB16-4B4F-9471-16A7B2549627}" name="node"/>
    <tableColumn id="6" xr3:uid="{E4543899-EFB9-479B-8F25-4235B1BF233A}" name="Mode_Planned"/>
    <tableColumn id="7" xr3:uid="{5EA7ADCB-5969-4080-9514-F12AB427B7CF}" name="Modes_ForPlot"/>
    <tableColumn id="8" xr3:uid="{693510CD-1DF5-4161-A1D9-3863932F8ED0}" name="Line_Unique"/>
    <tableColumn id="9" xr3:uid="{9DD8040C-7080-4C2C-90D9-B63EABCA50A3}" name="Line_Names"/>
    <tableColumn id="10" xr3:uid="{AF35A7A4-CFA8-4312-BFBE-6329CE842A79}" name="address"/>
    <tableColumn id="11" xr3:uid="{F711C825-790E-4E40-B21B-A51BA620C06A}" name="area"/>
    <tableColumn id="12" xr3:uid="{A5094500-526A-4E62-BC1E-0DD6663F90E8}" name="Metro"/>
    <tableColumn id="13" xr3:uid="{C8E52162-6404-4926-887A-2C5F0889A63B}" name="location"/>
    <tableColumn id="14" xr3:uid="{CC4FD62C-EBAD-478F-8AF0-4B8B2E89A63D}" name="LocationForChart"/>
    <tableColumn id="15" xr3:uid="{93150561-F70D-4D62-9688-A8FF6B4C53EF}" name="TotalDemand"/>
    <tableColumn id="16" xr3:uid="{2A5AD97C-DC7B-4BF5-9D5D-791B4E01028B}" name="TotalTransfers"/>
    <tableColumn id="17" xr3:uid="{CF19C598-D0D4-4B2E-90E8-2C1A31EA8877}" name="TransferRate"/>
    <tableColumn id="18" xr3:uid="{FA15AE22-0944-471B-B6DB-DFE89DCFA407}" name="BRT Lines"/>
    <tableColumn id="19" xr3:uid="{1527930D-AEE9-4743-8FAD-7318D1D00833}" name="Cable Line Lines"/>
    <tableColumn id="20" xr3:uid="{77DB72E6-44FA-4FDA-BBD2-C6B8B5E007C9}" name="Funicular Lines"/>
    <tableColumn id="21" xr3:uid="{1F3D4398-82FA-4C49-B780-DE00EAB26048}" name="HighSpeed Rail Lines"/>
    <tableColumn id="22" xr3:uid="{9B5E6932-6D8B-480D-90C1-4ADDB033C78A}" name="Interurban Rail Lines"/>
    <tableColumn id="23" xr3:uid="{9D95BB2E-AE5F-47B8-9A33-06F8B436F6AF}" name="LRT Lines"/>
    <tableColumn id="24" xr3:uid="{D9AAF188-75B2-46B3-819B-B67C47358D59}" name="Metro Lines"/>
    <tableColumn id="25" xr3:uid="{F30A85B1-6979-4133-875C-2A1CFF8DB3B5}" name="Suburban Rail Lines"/>
    <tableColumn id="26" xr3:uid="{A972025A-7DD0-4C29-AB55-1C66AAECA115}" name="pop_0_500"/>
    <tableColumn id="27" xr3:uid="{F023B404-0516-44CD-8C7F-822BF75E1942}" name="emp_0_500"/>
    <tableColumn id="28" xr3:uid="{1AB17DDD-3426-48BF-899C-0FA717C43481}" name="pop_500_1000"/>
    <tableColumn id="29" xr3:uid="{481BD79D-8A2F-450B-AC9E-0221598EC20B}" name="emp_500_1000"/>
    <tableColumn id="30" xr3:uid="{BC63D0F6-510F-4859-A3CA-F9C7759FF2F8}" name="pop_1000_1500"/>
    <tableColumn id="31" xr3:uid="{F03EBBEF-60B3-4EE7-B8FE-0678C93ACB9A}" name="emp_1000_1500"/>
    <tableColumn id="32" xr3:uid="{AD4BBC9B-672D-4373-8DD8-A7C94B8854FD}" name="TotalPop_2050"/>
    <tableColumn id="33" xr3:uid="{9A671451-F8E7-49DC-8AB6-CDF24C5A248C}" name="TotalEmp_2050"/>
    <tableColumn id="34" xr3:uid="{74553980-6E1A-413B-89EE-98F36395602D}" name="Region_category"/>
    <tableColumn id="35" xr3:uid="{99BAE039-8CB0-4BEC-938C-28EEC4BE6F63}" name="Location_category"/>
    <tableColumn id="36" xr3:uid="{6550B49F-050D-4CCE-BA7D-540BD3D22878}" name="RegionLocation"/>
    <tableColumn id="37" xr3:uid="{C3DF9398-BD3B-4EA4-9E68-26AD94401488}" name="Num_Modes"/>
    <tableColumn id="38" xr3:uid="{D32DED08-C4D6-42C7-BC4A-C8AE4E8127C2}" name="score"/>
    <tableColumn id="39" xr3:uid="{90510B97-D736-4DC3-A165-5648541C0A5E}" name="bus_terminal"/>
    <tableColumn id="40" xr3:uid="{6689DE39-B06E-447E-A18E-F44AB7106F22}" name="HubType"/>
    <tableColumn id="41" xr3:uid="{7777ED69-7AB6-4AD0-A613-BD310EAC3EC5}" name="HubType_Filtered"/>
    <tableColumn id="42" xr3:uid="{BFB66EA3-2F12-4864-A6A7-23D3915A6E72}" name="HubTypeHE"/>
    <tableColumn id="43" xr3:uid="{BC85E6D4-CADC-4C8A-B215-51880D58FE2D}" name="BusTERMINAL_Clone"/>
    <tableColumn id="44" xr3:uid="{4212F3A1-A18E-48C8-9416-93C7EEA63391}" name="RegionLocation_Norm"/>
    <tableColumn id="45" xr3:uid="{1295B9D8-1ED8-4ECC-8AFE-887DFDD7573C}" name="score_Norm"/>
    <tableColumn id="46" xr3:uid="{71698D03-E970-4E97-8CA1-2D6A7D34169F}" name="bus_terminal_Norm"/>
    <tableColumn id="47" xr3:uid="{0F57CD10-7285-493D-BB36-AB4702061506}" name="TotalDemand_Norm"/>
    <tableColumn id="48" xr3:uid="{1C72263D-A6D8-44AC-9299-E467A3892E79}" name="PopEmp_Score_Norm"/>
    <tableColumn id="49" xr3:uid="{232DB702-EB60-4B41-89EB-2B0AFD40C12D}" name="TotalScore_MC"/>
    <tableColumn id="50" xr3:uid="{7B4D7234-D5FC-4980-A107-5241459BC215}" name="Rank_TS_MC"/>
    <tableColumn id="51" xr3:uid="{276DDF6C-7626-47BB-89E4-DCE704097187}" name="Rank_By_TS_MC_By_Metro"/>
    <tableColumn id="52" xr3:uid="{52215644-B376-4C00-BC64-45FAFB8CD60A}" name="TotalNumLines"/>
    <tableColumn id="53" xr3:uid="{5E927D76-0A0E-4282-B61B-0A16838D69AF}" name="NumLinesStatus_0"/>
    <tableColumn id="54" xr3:uid="{A3631CC6-09D6-4C8E-A8FE-BC3993F30DEB}" name="NumLinesStatus_1"/>
    <tableColumn id="55" xr3:uid="{9F82D251-67E4-454A-AD9F-EE98DB2CF555}" name="NumLinesStatus_2"/>
    <tableColumn id="56" xr3:uid="{FCA758AF-9C89-44CD-B3B0-15251A3C7C8F}" name="NumLinesStatus_3"/>
    <tableColumn id="57" xr3:uid="{FF01F59D-A20B-46BD-A1C7-391E86A999D7}" name="NumLinesStatus_4"/>
    <tableColumn id="58" xr3:uid="{C8C174D0-356D-4B05-955A-42E72836F911}" name="NumLinesStatus_5"/>
    <tableColumn id="59" xr3:uid="{873C52D7-C1D0-4805-A482-64232F9D3F67}" name="NumLinesStatus_6"/>
    <tableColumn id="60" xr3:uid="{BC55572A-B667-41F3-91C8-A3770467E35D}" name="NumLinesStatus_7"/>
    <tableColumn id="61" xr3:uid="{D83D71DE-F636-4D5A-81A7-1E4D385042C9}" name="TotalLinesAllStatuses"/>
    <tableColumn id="62" xr3:uid="{647DD5A6-39F5-4C74-827F-F27F3EC0980B}" name="Line_Nunique"/>
    <tableColumn id="63" xr3:uid="{6016A6A6-E270-439E-AE72-4801292B5A75}" name="Average_Simulated_Score"/>
    <tableColumn id="64" xr3:uid="{AC5A84B7-6960-4A6C-A2EA-B5F66021AFB9}" name="Overall_Rank"/>
    <tableColumn id="65" xr3:uid="{0706BACF-4057-4046-A4FD-923AD5D73617}" name="Rank_within_HubType"/>
    <tableColumn id="66" xr3:uid="{4AF27C88-A9AF-417A-9130-93A7D1A230B3}" name="LogDemand"/>
    <tableColumn id="67" xr3:uid="{926A81A3-0EA0-418A-A6DF-6F426AE355C9}" name="PopEmp_Score"/>
    <tableColumn id="68" xr3:uid="{2740C45C-F729-4F95-A421-7141F8AD3719}" name="HubNameHE"/>
    <tableColumn id="69" xr3:uid="{BE1B1548-23AF-4FE4-9D32-6BD28888D23F}" name="Line_Names_forPlot">
      <calculatedColumnFormula>SUBSTITUTE(SUBSTITUTE(SUBSTITUTE(SUBSTITUTE(SUBSTITUTE(SUBSTITUTE(SUBSTITUTE(I2,"[",""),"]",""),"'",""),"M1-LOD-KS","לוד-כפרסבא (מטרו)"),"M1-KS-LOD","כפר סבא-לוד (מטרו)"),"M1-RA-RE","רעננה-רחובות (מטרו)"),"M1-RE-RA","רחובות-רעננה (מטרו)")</calculatedColumnFormula>
    </tableColumn>
    <tableColumn id="70" xr3:uid="{EC46C2BF-B31B-4D28-9F77-321D79716EA8}" name="RankByHubTypeMetro">
      <calculatedColumnFormula>IF($AP2="ארצי",COUNTIFS($AP$2:$AP$143,"ארצי",$BK$2:$BK$143,"&gt;"&amp;$BK2)+1,COUNTIFS($AP$2:$AP$143,$AP2,$L$2:$L$143,$L2,$BK$2:$BK$143,"&gt;"&amp;$BK2)+1)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E7296D-EE09-47F7-9173-897034D4B79D}">
  <we:reference id="wa200009404" version="1.0.0.8" store="he-IL" storeType="OMEX"/>
  <we:alternateReferences>
    <we:reference id="WA200009404" version="1.0.0.8" store="WA200009404" storeType="OMEX"/>
  </we:alternateReferences>
  <we:properties>
    <we:property name="claude.fileId" value="&quot;42c31d1b-ba5d-4f7b-8d68-0a86585938d6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5F2AC-073D-4833-BD1B-398C4BBCE792}">
  <dimension ref="A1:BR143"/>
  <sheetViews>
    <sheetView tabSelected="1" workbookViewId="0">
      <selection activeCell="G9" sqref="G9"/>
    </sheetView>
  </sheetViews>
  <sheetFormatPr defaultRowHeight="15" x14ac:dyDescent="0.25"/>
  <cols>
    <col min="2" max="3" width="9.140625" customWidth="1"/>
    <col min="4" max="4" width="11.140625" customWidth="1"/>
    <col min="5" max="5" width="9.140625" customWidth="1"/>
    <col min="6" max="6" width="16.28515625" customWidth="1"/>
    <col min="7" max="7" width="16.42578125" customWidth="1"/>
    <col min="8" max="8" width="14.28515625" customWidth="1"/>
    <col min="9" max="9" width="14.140625" customWidth="1"/>
    <col min="10" max="10" width="10.28515625" customWidth="1"/>
    <col min="11" max="12" width="9.140625" customWidth="1"/>
    <col min="13" max="13" width="10.42578125" customWidth="1"/>
    <col min="14" max="14" width="18.7109375" customWidth="1"/>
    <col min="15" max="15" width="15.140625" customWidth="1"/>
    <col min="16" max="16" width="16" customWidth="1"/>
    <col min="17" max="17" width="14.7109375" customWidth="1"/>
    <col min="18" max="18" width="11.85546875" customWidth="1"/>
    <col min="19" max="19" width="18" customWidth="1"/>
    <col min="20" max="20" width="16.7109375" customWidth="1"/>
    <col min="21" max="21" width="22.140625" customWidth="1"/>
    <col min="22" max="22" width="21.7109375" customWidth="1"/>
    <col min="23" max="23" width="11.7109375" customWidth="1"/>
    <col min="24" max="24" width="13.7109375" customWidth="1"/>
    <col min="25" max="25" width="20.85546875" customWidth="1"/>
    <col min="26" max="26" width="12.28515625" customWidth="1"/>
    <col min="27" max="27" width="12.85546875" customWidth="1"/>
    <col min="28" max="28" width="15.28515625" customWidth="1"/>
    <col min="29" max="29" width="15.85546875" customWidth="1"/>
    <col min="30" max="30" width="16.28515625" customWidth="1"/>
    <col min="31" max="31" width="16.85546875" customWidth="1"/>
    <col min="32" max="32" width="15.85546875" customWidth="1"/>
    <col min="33" max="33" width="16.42578125" customWidth="1"/>
    <col min="34" max="34" width="18" customWidth="1"/>
    <col min="35" max="35" width="19.42578125" customWidth="1"/>
    <col min="36" max="36" width="17.140625" customWidth="1"/>
    <col min="37" max="37" width="14.28515625" customWidth="1"/>
    <col min="38" max="38" width="9.140625" customWidth="1"/>
    <col min="39" max="39" width="14.85546875" customWidth="1"/>
    <col min="40" max="40" width="11.140625" customWidth="1"/>
    <col min="41" max="41" width="19" customWidth="1"/>
    <col min="42" max="42" width="13.7109375" customWidth="1"/>
    <col min="43" max="43" width="21.85546875" customWidth="1"/>
    <col min="44" max="44" width="23" customWidth="1"/>
    <col min="45" max="45" width="14" customWidth="1"/>
    <col min="46" max="46" width="20.7109375" customWidth="1"/>
    <col min="47" max="47" width="21" customWidth="1"/>
    <col min="48" max="48" width="22.42578125" customWidth="1"/>
    <col min="49" max="49" width="16.5703125" customWidth="1"/>
    <col min="50" max="50" width="14.42578125" customWidth="1"/>
    <col min="51" max="51" width="26.5703125" customWidth="1"/>
    <col min="52" max="52" width="16.7109375" customWidth="1"/>
    <col min="53" max="60" width="19.85546875" customWidth="1"/>
    <col min="61" max="61" width="22.5703125" customWidth="1"/>
    <col min="62" max="62" width="15.5703125" customWidth="1"/>
    <col min="63" max="63" width="26.28515625" customWidth="1"/>
    <col min="64" max="64" width="14.85546875" customWidth="1"/>
    <col min="65" max="65" width="22.85546875" customWidth="1"/>
    <col min="66" max="66" width="13.85546875" customWidth="1"/>
    <col min="67" max="67" width="16.5703125" customWidth="1"/>
    <col min="68" max="68" width="14.7109375" customWidth="1"/>
    <col min="69" max="69" width="21.140625" customWidth="1"/>
    <col min="70" max="70" width="23" customWidth="1"/>
  </cols>
  <sheetData>
    <row r="1" spans="1:7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s="2" t="s">
        <v>785</v>
      </c>
      <c r="BR1" s="2" t="s">
        <v>786</v>
      </c>
    </row>
    <row r="2" spans="1:70" x14ac:dyDescent="0.25">
      <c r="A2">
        <v>630</v>
      </c>
      <c r="B2">
        <v>34.797273194276897</v>
      </c>
      <c r="C2">
        <v>32.0833902750975</v>
      </c>
      <c r="D2" t="s">
        <v>68</v>
      </c>
      <c r="E2" t="s">
        <v>69</v>
      </c>
      <c r="F2" t="s">
        <v>70</v>
      </c>
      <c r="G2" t="s">
        <v>71</v>
      </c>
      <c r="H2" t="s">
        <v>72</v>
      </c>
      <c r="I2" t="s">
        <v>73</v>
      </c>
      <c r="J2" t="s">
        <v>74</v>
      </c>
      <c r="K2" t="s">
        <v>75</v>
      </c>
      <c r="L2" t="s">
        <v>75</v>
      </c>
      <c r="M2" t="s">
        <v>76</v>
      </c>
      <c r="N2" t="s">
        <v>77</v>
      </c>
      <c r="O2">
        <v>333765.02</v>
      </c>
      <c r="P2">
        <v>232459.91</v>
      </c>
      <c r="Q2">
        <v>0.69647774952569896</v>
      </c>
      <c r="R2">
        <v>0</v>
      </c>
      <c r="S2">
        <v>0</v>
      </c>
      <c r="T2">
        <v>0</v>
      </c>
      <c r="U2">
        <v>9.3333333333333304</v>
      </c>
      <c r="V2">
        <v>9.3333333333333304</v>
      </c>
      <c r="W2">
        <v>8</v>
      </c>
      <c r="X2">
        <v>4</v>
      </c>
      <c r="Y2">
        <v>9.3333333333333304</v>
      </c>
      <c r="Z2">
        <v>17634.226918537101</v>
      </c>
      <c r="AA2">
        <v>52470.473781377099</v>
      </c>
      <c r="AB2">
        <v>43461.6491529415</v>
      </c>
      <c r="AC2">
        <v>69984.063624759598</v>
      </c>
      <c r="AD2">
        <v>31781.897656126399</v>
      </c>
      <c r="AE2">
        <v>30048.7819401179</v>
      </c>
      <c r="AF2">
        <v>92877.773727605105</v>
      </c>
      <c r="AG2">
        <v>152503.31934625399</v>
      </c>
      <c r="AH2">
        <v>0</v>
      </c>
      <c r="AI2">
        <v>3</v>
      </c>
      <c r="AJ2">
        <v>0</v>
      </c>
      <c r="AK2">
        <v>5</v>
      </c>
      <c r="AL2">
        <v>364</v>
      </c>
      <c r="AM2">
        <v>3</v>
      </c>
      <c r="AN2" t="s">
        <v>78</v>
      </c>
      <c r="AO2" t="b">
        <v>0</v>
      </c>
      <c r="AP2" t="s">
        <v>78</v>
      </c>
      <c r="AQ2">
        <v>3</v>
      </c>
      <c r="AR2">
        <v>1</v>
      </c>
      <c r="AS2">
        <v>10</v>
      </c>
      <c r="AT2">
        <v>10</v>
      </c>
      <c r="AU2">
        <v>7.0400277974310601</v>
      </c>
      <c r="AV2">
        <v>7.7295122586300096</v>
      </c>
      <c r="AW2">
        <v>7.3625741397388698</v>
      </c>
      <c r="AX2">
        <v>1</v>
      </c>
      <c r="AY2">
        <v>1</v>
      </c>
      <c r="AZ2">
        <v>40</v>
      </c>
      <c r="BA2">
        <v>6</v>
      </c>
      <c r="BB2">
        <v>0</v>
      </c>
      <c r="BC2">
        <v>0</v>
      </c>
      <c r="BD2">
        <v>0</v>
      </c>
      <c r="BE2">
        <v>0</v>
      </c>
      <c r="BF2">
        <v>0</v>
      </c>
      <c r="BG2">
        <v>2</v>
      </c>
      <c r="BH2">
        <v>0</v>
      </c>
      <c r="BI2">
        <v>8</v>
      </c>
      <c r="BJ2">
        <v>40</v>
      </c>
      <c r="BK2">
        <v>7.3625741397388698</v>
      </c>
      <c r="BL2">
        <v>1</v>
      </c>
      <c r="BM2">
        <v>1</v>
      </c>
      <c r="BN2">
        <v>5.5234408188110997</v>
      </c>
      <c r="BO2">
        <v>140578.21022252401</v>
      </c>
      <c r="BP2" t="s">
        <v>79</v>
      </c>
      <c r="BQ2" t="str">
        <f>SUBSTITUTE(SUBSTITUTE(SUBSTITUTE(SUBSTITUTE(SUBSTITUTE(SUBSTITUTE(SUBSTITUTE(I2,"[",""),"]",""),"'",""),"M1-LOD-KS","לוד-כפרסבא (מטרו)"),"M1-KS-LOD","כפר סבא-לוד (מטרו)"),"M1-RA-RE","רעננה-רחובות (מטרו)"),"M1-RE-RA","רחובות-רעננה (מטרו)")</f>
        <v>בר אילן-סבידור (רק"ל), יהוד-סבידור (רק"ל), רעננה-רחובות (מטרו), רחובות-רעננה (מטרו), כפר סבא-לוד (מטרו), לוד-כפרסבא (מטרו), באר שבע-עכו (רכבת בינעירונית), עכו-באר שבע (רכבת בינעירונית), בית שמש-הרצליה (רכבת פרברית), הרצליה-בית שאן (רכבת פרברית), באר שבע-מודיעין (רכבת פרברית), נהריה-אילת (רכבת מהירה), מודיעין-קרית שמונה (רכבת בינעירונית), קרית שמונה-מודיעין (רכבת בינעירונית), שוקת-זיכרון יעקב (רכבת פרברית), באר שבע-נהריה (רכבת בינעירונית), הרצליה-בית שמש (רכבת פרברית), נתניה-ירושלים (רכבת פרברית), חיפה-באר שבע (רכבת מהירה), בית שאן-הרצליה (רכבת פרברית), ראש העין-באר שבע (רכבת פרברית), ירושלים-חיפה (רכבת מהירה), ירושלים-נתניה (רכבת פרברית), אילת-נהריה (רכבת מהירה), כרמיאל-אשקלון (רכבת בינעירונית), אשקלון-כרמיאל (רכבת בינעירונית), זיכרון יעקב-שוקת (רכבת פרברית), מודיעין-באר שבע (רכבת פרברית), זיכרון יעקב-אשקלון (רכבת פרברית), באר שבע-ראש העין (רכבת פרברית), נהריה-באר שבע (רכבת בינעירונית), חיפה-ירושלים (רכבת מהירה), באר שבע-חיפה (רכבת מהירה), אשקלון-זיכרון יעקב (רכבת פרברית), פ"ת (קרית אריה)-ראשל"צ (רק"ל), ראשל"צ-פ"ת (רק"ל), ראשל"צ-פ"ת (קרית אריה) (רק"ל), פ"ת-ת"א (רק"ל), פ"ת-ראשל"צ (רק"ל), ת"א-פ"ת (רק"ל)</v>
      </c>
      <c r="BR2">
        <f>IF($AP2="ארצי",COUNTIFS($AP$2:$AP$143,"ארצי",$BK$2:$BK$143,"&gt;"&amp;$BK2)+1,COUNTIFS($AP$2:$AP$143,$AP2,$L$2:$L$143,$L2,$BK$2:$BK$143,"&gt;"&amp;$BK2)+1)</f>
        <v>1</v>
      </c>
    </row>
    <row r="3" spans="1:70" x14ac:dyDescent="0.25">
      <c r="A3">
        <v>283</v>
      </c>
      <c r="B3">
        <v>35.201466609532197</v>
      </c>
      <c r="C3">
        <v>31.786944684114001</v>
      </c>
      <c r="D3" t="s">
        <v>80</v>
      </c>
      <c r="E3" t="s">
        <v>81</v>
      </c>
      <c r="F3" t="s">
        <v>82</v>
      </c>
      <c r="G3" t="s">
        <v>83</v>
      </c>
      <c r="H3" t="s">
        <v>84</v>
      </c>
      <c r="I3" t="s">
        <v>85</v>
      </c>
      <c r="J3" t="s">
        <v>74</v>
      </c>
      <c r="K3" t="s">
        <v>86</v>
      </c>
      <c r="L3" t="s">
        <v>86</v>
      </c>
      <c r="M3" t="s">
        <v>76</v>
      </c>
      <c r="N3" t="s">
        <v>77</v>
      </c>
      <c r="O3">
        <v>208027.44</v>
      </c>
      <c r="P3">
        <v>0</v>
      </c>
      <c r="Q3">
        <v>0</v>
      </c>
      <c r="R3">
        <v>0</v>
      </c>
      <c r="S3">
        <v>0</v>
      </c>
      <c r="T3">
        <v>0</v>
      </c>
      <c r="U3">
        <v>3.3333333333333299</v>
      </c>
      <c r="V3">
        <v>3.3333333333333299</v>
      </c>
      <c r="W3">
        <v>12</v>
      </c>
      <c r="X3">
        <v>0</v>
      </c>
      <c r="Y3">
        <v>3.3333333333333299</v>
      </c>
      <c r="Z3">
        <v>18576.272854727798</v>
      </c>
      <c r="AA3">
        <v>41352.001675450898</v>
      </c>
      <c r="AB3">
        <v>43883.175767865097</v>
      </c>
      <c r="AC3">
        <v>40687.670948258601</v>
      </c>
      <c r="AD3">
        <v>25703.590005805199</v>
      </c>
      <c r="AE3">
        <v>23930.725010707501</v>
      </c>
      <c r="AF3">
        <v>88163.038628398193</v>
      </c>
      <c r="AG3">
        <v>105970.39763441699</v>
      </c>
      <c r="AH3">
        <v>1</v>
      </c>
      <c r="AI3">
        <v>3</v>
      </c>
      <c r="AJ3">
        <v>3</v>
      </c>
      <c r="AK3">
        <v>4</v>
      </c>
      <c r="AL3">
        <v>169</v>
      </c>
      <c r="AM3">
        <v>3</v>
      </c>
      <c r="AN3" t="s">
        <v>78</v>
      </c>
      <c r="AO3" t="b">
        <v>0</v>
      </c>
      <c r="AP3" t="s">
        <v>78</v>
      </c>
      <c r="AQ3">
        <v>3</v>
      </c>
      <c r="AR3">
        <v>10</v>
      </c>
      <c r="AS3">
        <v>5.0437729454956202</v>
      </c>
      <c r="AT3">
        <v>10</v>
      </c>
      <c r="AU3">
        <v>5.4080909970572701</v>
      </c>
      <c r="AV3">
        <v>5.8934059369157898</v>
      </c>
      <c r="AW3">
        <v>7.3244510391965196</v>
      </c>
      <c r="AX3">
        <v>2</v>
      </c>
      <c r="AY3">
        <v>2</v>
      </c>
      <c r="AZ3">
        <v>21.999999999999901</v>
      </c>
      <c r="BA3">
        <v>9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9</v>
      </c>
      <c r="BJ3">
        <v>22</v>
      </c>
      <c r="BK3">
        <v>7.3244510391965196</v>
      </c>
      <c r="BL3">
        <v>2</v>
      </c>
      <c r="BM3">
        <v>2</v>
      </c>
      <c r="BN3">
        <v>5.3181206246482704</v>
      </c>
      <c r="BO3">
        <v>102408.925833213</v>
      </c>
      <c r="BP3" t="s">
        <v>87</v>
      </c>
      <c r="BQ3" t="str">
        <f t="shared" ref="BQ3:BQ66" si="0">SUBSTITUTE(SUBSTITUTE(SUBSTITUTE(SUBSTITUTE(SUBSTITUTE(SUBSTITUTE(SUBSTITUTE(I3,"[",""),"]",""),"'",""),"M1-LOD-KS","לוד-כפרסבא (מטרו)"),"M1-KS-LOD","כפר סבא-לוד (מטרו)"),"M1-RA-RE","רעננה-רחובות (מטרו)"),"M1-RE-RA","רחובות-רעננה (מטרו)")</f>
        <v>ירושלים-מודיעין (רכבת פרברית), חריש-ירושלים (רכבת פרברית), נתניה-ירושלים (רכבת פרברית), ירושלים-חריש (רכבת פרברית), ירושלים-נתניה (רכבת פרברית), ירושלים-חיפה (רכבת מהירה), ירושלים-באר שבע (רכבת בינעירונית), חיפה-ירושלים (רכבת מהירה), באר שבע-ירושלים (רכבת בינעירונית), מודיעין-ירושלים (רכבת פרברית), ירוק מקווקוו 1 כיוון 2 (רק"ל), ירוק מקווקוו 2 כיוון 2 (רק"ל), ירוק מקווקוו 2 כיוון 1 (רק"ל), ירוק מקווקוו 1 כיוון 1 (רק"ל), LRT51, אדום מקווקו כיוון 2 (רק"ל), LRT52, אדום מקווקו כיוון 1 (רק"ל), אדום כיוון 1 (רק"ל), אדום כיוון 2 (רק"ל)</v>
      </c>
      <c r="BR3">
        <f>IF($AP3="ארצי",COUNTIFS($AP$2:$AP$143,"ארצי",$BK$2:$BK$143,"&gt;"&amp;$BK3)+1,COUNTIFS($AP$2:$AP$143,$AP3,$L$2:$L$143,$L3,$BK$2:$BK$143,"&gt;"&amp;$BK3)+1)</f>
        <v>2</v>
      </c>
    </row>
    <row r="4" spans="1:70" x14ac:dyDescent="0.25">
      <c r="A4">
        <v>481</v>
      </c>
      <c r="B4">
        <v>35.035457711922199</v>
      </c>
      <c r="C4">
        <v>32.793227632350103</v>
      </c>
      <c r="D4" t="s">
        <v>88</v>
      </c>
      <c r="E4" t="s">
        <v>89</v>
      </c>
      <c r="F4" t="s">
        <v>90</v>
      </c>
      <c r="G4" t="s">
        <v>91</v>
      </c>
      <c r="H4" t="s">
        <v>92</v>
      </c>
      <c r="I4" t="s">
        <v>93</v>
      </c>
      <c r="J4" t="s">
        <v>74</v>
      </c>
      <c r="K4" t="s">
        <v>94</v>
      </c>
      <c r="L4" t="s">
        <v>94</v>
      </c>
      <c r="M4" t="s">
        <v>76</v>
      </c>
      <c r="N4" t="s">
        <v>77</v>
      </c>
      <c r="O4">
        <v>215309.84336699999</v>
      </c>
      <c r="P4">
        <v>189892.40020199999</v>
      </c>
      <c r="Q4">
        <v>0.88194946051920398</v>
      </c>
      <c r="R4">
        <v>10</v>
      </c>
      <c r="S4">
        <v>1</v>
      </c>
      <c r="T4">
        <v>0</v>
      </c>
      <c r="U4">
        <v>7</v>
      </c>
      <c r="V4">
        <v>7</v>
      </c>
      <c r="W4">
        <v>5</v>
      </c>
      <c r="X4">
        <v>0</v>
      </c>
      <c r="Y4">
        <v>4</v>
      </c>
      <c r="Z4">
        <v>820.81080207699995</v>
      </c>
      <c r="AA4">
        <v>5695.5684526764198</v>
      </c>
      <c r="AB4">
        <v>2950.1790195723502</v>
      </c>
      <c r="AC4">
        <v>10959.396163501</v>
      </c>
      <c r="AD4">
        <v>3859.8465061639499</v>
      </c>
      <c r="AE4">
        <v>7345.6245232047204</v>
      </c>
      <c r="AF4">
        <v>7630.8363278133102</v>
      </c>
      <c r="AG4">
        <v>24000.589139382198</v>
      </c>
      <c r="AH4">
        <v>1</v>
      </c>
      <c r="AI4">
        <v>3</v>
      </c>
      <c r="AJ4">
        <v>3</v>
      </c>
      <c r="AK4">
        <v>6</v>
      </c>
      <c r="AL4">
        <v>295.5</v>
      </c>
      <c r="AM4">
        <v>3</v>
      </c>
      <c r="AN4" t="s">
        <v>78</v>
      </c>
      <c r="AO4" t="b">
        <v>0</v>
      </c>
      <c r="AP4" t="s">
        <v>78</v>
      </c>
      <c r="AQ4">
        <v>3</v>
      </c>
      <c r="AR4">
        <v>10</v>
      </c>
      <c r="AS4">
        <v>8.2589663936741005</v>
      </c>
      <c r="AT4">
        <v>10</v>
      </c>
      <c r="AU4">
        <v>5.5268638075244203</v>
      </c>
      <c r="AV4">
        <v>1.9641375106761101</v>
      </c>
      <c r="AW4">
        <v>7.0196008242113797</v>
      </c>
      <c r="AX4">
        <v>3</v>
      </c>
      <c r="AY4">
        <v>3</v>
      </c>
      <c r="AZ4">
        <v>34</v>
      </c>
      <c r="BA4">
        <v>3</v>
      </c>
      <c r="BB4">
        <v>0</v>
      </c>
      <c r="BC4">
        <v>0</v>
      </c>
      <c r="BD4">
        <v>0</v>
      </c>
      <c r="BE4">
        <v>0</v>
      </c>
      <c r="BF4">
        <v>0</v>
      </c>
      <c r="BG4">
        <v>3</v>
      </c>
      <c r="BH4">
        <v>0</v>
      </c>
      <c r="BI4">
        <v>6</v>
      </c>
      <c r="BJ4">
        <v>34</v>
      </c>
      <c r="BK4">
        <v>7.0196008242113797</v>
      </c>
      <c r="BL4">
        <v>3</v>
      </c>
      <c r="BM4">
        <v>3</v>
      </c>
      <c r="BN4">
        <v>5.3330638850127601</v>
      </c>
      <c r="BO4">
        <v>20726.638577068399</v>
      </c>
      <c r="BP4" t="s">
        <v>95</v>
      </c>
      <c r="BQ4" t="str">
        <f t="shared" si="0"/>
        <v>לב המפרץ-אוניברסיטת חיפה (רכבל), באר שבע-עכו (רכבת בינעירונית), עכו-באר שבע (רכבת בינעירונית), קרית שמונה-מודיעין (רכבת בינעירונית), אשקלון-כרמיאל (רכבת בינעירונית), כרמיאל-אשקלון (רכבת בינעירונית), חיפה-באר שבע (רכבת מהירה), נהריה-באר שבע (רכבת בינעירונית), נהריה-אילת (רכבת מהירה), מודיעין-קרית שמונה (רכבת בינעירונית), ירושלים-חיפה (רכבת מהירה), אילת-נהריה (רכבת מהירה), חיפה-ירושלים (רכבת מהירה), באר שבע-חיפה (רכבת מהירה), באר שבע-נהריה (רכבת בינעירונית), טבריה-עתלית (רכבת פרברית), עתלית-טבריה (רכבת פרברית), הרצליה-בית שאן (רכבת פרברית), בית שאן-הרצליה (רכבת פרברית), מרכזית חוף הכרמל-מרכזית הקריות (דרך המנהרות) (BRT), בת גלים - מרכזית הקריות (BRT), מרכזית הקריות-הדר (דרך קרית ים) (BRT), מרכזית הקריות - בת גלים (BRT), מרכזית הקריות-מרכזית חוף הכרמל (דרך המנהרות) (BRT), הדר-מרכזית הקריות (דרך קרית ים) (BRT), מרכזית המפרץ-עכו (BRT), מרכז הכרמל-גילעם (דרך המנהרות) (BRT), גילעם-מרכז הכרמל (דרך המנהרות) (BRT), עכו-מרכזית המפרץ (BRT), נצרת-חוף הכרמל (רק"ל), חוף הכרמל-נצרת (רק"ל), מרכזית המפרץ-נצרת (רק"ל), חוף הכרמל-מרכזית הקריות (דרך 22) (רק"ל), מרכזית הקריות-חוף הכרמל (דרך 22) (רק"ל)</v>
      </c>
      <c r="BR4">
        <f>IF($AP4="ארצי",COUNTIFS($AP$2:$AP$143,"ארצי",$BK$2:$BK$143,"&gt;"&amp;$BK4)+1,COUNTIFS($AP$2:$AP$143,$AP4,$L$2:$L$143,$L4,$BK$2:$BK$143,"&gt;"&amp;$BK4)+1)</f>
        <v>3</v>
      </c>
    </row>
    <row r="5" spans="1:70" x14ac:dyDescent="0.25">
      <c r="A5">
        <v>1022</v>
      </c>
      <c r="B5">
        <v>34.796917400563203</v>
      </c>
      <c r="C5">
        <v>31.242187971676501</v>
      </c>
      <c r="D5" t="s">
        <v>96</v>
      </c>
      <c r="E5" t="s">
        <v>97</v>
      </c>
      <c r="F5" t="s">
        <v>98</v>
      </c>
      <c r="G5" t="s">
        <v>99</v>
      </c>
      <c r="H5" t="s">
        <v>100</v>
      </c>
      <c r="I5" t="s">
        <v>101</v>
      </c>
      <c r="J5" t="s">
        <v>74</v>
      </c>
      <c r="K5" t="s">
        <v>102</v>
      </c>
      <c r="L5" t="s">
        <v>102</v>
      </c>
      <c r="M5" t="s">
        <v>76</v>
      </c>
      <c r="N5" t="s">
        <v>77</v>
      </c>
      <c r="O5">
        <v>28517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7</v>
      </c>
      <c r="W5">
        <v>4</v>
      </c>
      <c r="X5">
        <v>0</v>
      </c>
      <c r="Y5">
        <v>7</v>
      </c>
      <c r="Z5">
        <v>9609.0036042915199</v>
      </c>
      <c r="AA5">
        <v>15203.742728212001</v>
      </c>
      <c r="AB5">
        <v>16056.292157510999</v>
      </c>
      <c r="AC5">
        <v>17973.769934002899</v>
      </c>
      <c r="AD5">
        <v>10894.827366187201</v>
      </c>
      <c r="AE5">
        <v>8584.2409562133198</v>
      </c>
      <c r="AF5">
        <v>36560.123127989798</v>
      </c>
      <c r="AG5">
        <v>41761.753618428302</v>
      </c>
      <c r="AH5">
        <v>1</v>
      </c>
      <c r="AI5">
        <v>3</v>
      </c>
      <c r="AJ5">
        <v>3</v>
      </c>
      <c r="AK5">
        <v>3</v>
      </c>
      <c r="AL5">
        <v>133.19999999999999</v>
      </c>
      <c r="AM5">
        <v>3</v>
      </c>
      <c r="AN5" t="s">
        <v>103</v>
      </c>
      <c r="AO5" t="b">
        <v>0</v>
      </c>
      <c r="AP5" t="s">
        <v>103</v>
      </c>
      <c r="AQ5">
        <v>3</v>
      </c>
      <c r="AR5">
        <v>10</v>
      </c>
      <c r="AS5">
        <v>4.1338604913866099</v>
      </c>
      <c r="AT5">
        <v>10</v>
      </c>
      <c r="AU5">
        <v>4.7810274902114704</v>
      </c>
      <c r="AV5">
        <v>2.9259726345843799</v>
      </c>
      <c r="AW5">
        <v>6.9642483310825103</v>
      </c>
      <c r="AX5">
        <v>4</v>
      </c>
      <c r="AY5">
        <v>1</v>
      </c>
      <c r="AZ5">
        <v>18</v>
      </c>
      <c r="BA5">
        <v>4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4</v>
      </c>
      <c r="BJ5">
        <v>18</v>
      </c>
      <c r="BK5">
        <v>6.9642483310825103</v>
      </c>
      <c r="BL5">
        <v>4</v>
      </c>
      <c r="BM5">
        <v>1</v>
      </c>
      <c r="BN5">
        <v>4.4551038356266899</v>
      </c>
      <c r="BO5">
        <v>40721.4275203406</v>
      </c>
      <c r="BP5" t="s">
        <v>104</v>
      </c>
      <c r="BQ5" t="str">
        <f t="shared" si="0"/>
        <v>באר שבע-עכו (רכבת בינעירונית), מודיעין-באר שבע (רכבת פרברית), ירוחם-באר שבע (רכבת פרברית), עכו-באר שבע (רכבת בינעירונית), באר שבע-מודיעין (רכבת פרברית), באר  שבע-ירוחם (רכבת פרברית), באר שבע-ראש העין (רכבת פרברית), באר שבע-ערד (רכבת פרברית), נהריה-באר שבע (רכבת בינעירונית), ראש העין-באר שבע (רכבת פרברית), באר שבע-ירושלים (רכבת בינעירונית), ערד-באר שבע (רכבת פרברית), ירושלים-באר שבע (רכבת בינעירונית), באר שבע-נהריה (רכבת בינעירונית), אופקים-תל שבע (רק"ל), צומת שוקת-מרכז רפואי באר שבע (רק"ל), מרכז רפואי באר שבע-צומת שוקת (רק"ל), תל שבע-אופקים (רק"ל)</v>
      </c>
      <c r="BR5">
        <f>IF($AP5="ארצי",COUNTIFS($AP$2:$AP$143,"ארצי",$BK$2:$BK$143,"&gt;"&amp;$BK5)+1,COUNTIFS($AP$2:$AP$143,$AP5,$L$2:$L$143,$L5,$BK$2:$BK$143,"&gt;"&amp;$BK5)+1)</f>
        <v>1</v>
      </c>
    </row>
    <row r="6" spans="1:70" x14ac:dyDescent="0.25">
      <c r="A6">
        <v>507</v>
      </c>
      <c r="B6">
        <v>34.983673875067403</v>
      </c>
      <c r="C6">
        <v>32.830743636272203</v>
      </c>
      <c r="D6" t="s">
        <v>105</v>
      </c>
      <c r="E6" t="s">
        <v>106</v>
      </c>
      <c r="F6" t="s">
        <v>107</v>
      </c>
      <c r="G6" t="s">
        <v>108</v>
      </c>
      <c r="H6" t="s">
        <v>109</v>
      </c>
      <c r="I6" t="s">
        <v>110</v>
      </c>
      <c r="J6" t="s">
        <v>74</v>
      </c>
      <c r="K6" t="s">
        <v>94</v>
      </c>
      <c r="L6" t="s">
        <v>94</v>
      </c>
      <c r="M6" t="s">
        <v>76</v>
      </c>
      <c r="N6" t="s">
        <v>77</v>
      </c>
      <c r="O6">
        <v>32877.76296367</v>
      </c>
      <c r="P6">
        <v>27890.610336599999</v>
      </c>
      <c r="Q6">
        <v>0.84831228838224704</v>
      </c>
      <c r="R6">
        <v>6</v>
      </c>
      <c r="S6">
        <v>0</v>
      </c>
      <c r="T6">
        <v>0</v>
      </c>
      <c r="U6">
        <v>0</v>
      </c>
      <c r="V6">
        <v>6</v>
      </c>
      <c r="W6">
        <v>6</v>
      </c>
      <c r="X6">
        <v>0</v>
      </c>
      <c r="Y6">
        <v>6</v>
      </c>
      <c r="Z6">
        <v>11361.9325797497</v>
      </c>
      <c r="AA6">
        <v>10581.9676727529</v>
      </c>
      <c r="AB6">
        <v>12654.8830054055</v>
      </c>
      <c r="AC6">
        <v>7504.32343495429</v>
      </c>
      <c r="AD6">
        <v>6275.9163735311204</v>
      </c>
      <c r="AE6">
        <v>4070.9599157605799</v>
      </c>
      <c r="AF6">
        <v>30292.7319586864</v>
      </c>
      <c r="AG6">
        <v>22157.251023467801</v>
      </c>
      <c r="AH6">
        <v>1</v>
      </c>
      <c r="AI6">
        <v>3</v>
      </c>
      <c r="AJ6">
        <v>3</v>
      </c>
      <c r="AK6">
        <v>4</v>
      </c>
      <c r="AL6">
        <v>171.6</v>
      </c>
      <c r="AM6">
        <v>2</v>
      </c>
      <c r="AN6" t="s">
        <v>103</v>
      </c>
      <c r="AO6" t="b">
        <v>0</v>
      </c>
      <c r="AP6" t="s">
        <v>103</v>
      </c>
      <c r="AQ6">
        <v>2</v>
      </c>
      <c r="AR6">
        <v>10</v>
      </c>
      <c r="AS6">
        <v>5.1098559728890098</v>
      </c>
      <c r="AT6">
        <v>7</v>
      </c>
      <c r="AU6">
        <v>5.0947345009359797</v>
      </c>
      <c r="AV6">
        <v>2.1112264132230201</v>
      </c>
      <c r="AW6">
        <v>6.6814174578917802</v>
      </c>
      <c r="AX6">
        <v>5</v>
      </c>
      <c r="AY6">
        <v>2</v>
      </c>
      <c r="AZ6">
        <v>24</v>
      </c>
      <c r="BA6">
        <v>2</v>
      </c>
      <c r="BB6">
        <v>0</v>
      </c>
      <c r="BC6">
        <v>0</v>
      </c>
      <c r="BD6">
        <v>0</v>
      </c>
      <c r="BE6">
        <v>0</v>
      </c>
      <c r="BF6">
        <v>0</v>
      </c>
      <c r="BG6">
        <v>2</v>
      </c>
      <c r="BH6">
        <v>0</v>
      </c>
      <c r="BI6">
        <v>4</v>
      </c>
      <c r="BJ6">
        <v>24</v>
      </c>
      <c r="BK6">
        <v>6.6814174578917802</v>
      </c>
      <c r="BL6">
        <v>5</v>
      </c>
      <c r="BM6">
        <v>2</v>
      </c>
      <c r="BN6">
        <v>4.51690226003634</v>
      </c>
      <c r="BO6">
        <v>23784.3472105115</v>
      </c>
      <c r="BP6" t="s">
        <v>111</v>
      </c>
      <c r="BQ6" t="str">
        <f t="shared" si="0"/>
        <v>הטכניון-בת גלים (דרך העצמאות) (BRT), בת גלים - מרכזית הקריות (BRT), בת גלים-יגור/רכסים (BRT), יגור/רכסים-בת גלים (BRT), מרכזית הקריות - בת גלים (BRT), בת גלים-הטכניון (דרך העצמאות) (BRT), באר שבע-עכו (רכבת בינעירונית), עכו-באר שבע (רכבת בינעירונית), אשקלון-כרמיאל (רכבת בינעירונית), נצרת-חוף הכרמל (רק"ל), כרמיאל-חיפה (רכבת פרברית), הרצליה-בית שאן (רכבת פרברית), חוף הכרמל-מרכזית הקריות (דרך 22) (רק"ל), חיפה-כרמיאל (רכבת פרברית), טבריה-עתלית (רכבת פרברית), נהריה-באר שבע (רכבת בינעירונית), בית שאן-הרצליה (רכבת פרברית), מודיעין-קרית שמונה (רכבת בינעירונית), קרית שמונה-מודיעין (רכבת בינעירונית), חוף הכרמל-נצרת (רק"ל), עתלית-טבריה (רכבת פרברית), כרמיאל-אשקלון (רכבת בינעירונית), באר שבע-נהריה (רכבת בינעירונית), מרכזית הקריות-חוף הכרמל (דרך 22) (רק"ל)</v>
      </c>
      <c r="BR6">
        <f>IF($AP6="ארצי",COUNTIFS($AP$2:$AP$143,"ארצי",$BK$2:$BK$143,"&gt;"&amp;$BK6)+1,COUNTIFS($AP$2:$AP$143,$AP6,$L$2:$L$143,$L6,$BK$2:$BK$143,"&gt;"&amp;$BK6)+1)</f>
        <v>1</v>
      </c>
    </row>
    <row r="7" spans="1:70" x14ac:dyDescent="0.25">
      <c r="A7">
        <v>480</v>
      </c>
      <c r="B7">
        <v>34.957524306139</v>
      </c>
      <c r="C7">
        <v>32.793491212098999</v>
      </c>
      <c r="D7" t="s">
        <v>112</v>
      </c>
      <c r="E7" t="s">
        <v>113</v>
      </c>
      <c r="F7" t="s">
        <v>114</v>
      </c>
      <c r="G7" t="s">
        <v>115</v>
      </c>
      <c r="H7" t="s">
        <v>116</v>
      </c>
      <c r="I7" t="s">
        <v>117</v>
      </c>
      <c r="J7" t="s">
        <v>74</v>
      </c>
      <c r="K7" t="s">
        <v>94</v>
      </c>
      <c r="L7" t="s">
        <v>94</v>
      </c>
      <c r="M7" t="s">
        <v>76</v>
      </c>
      <c r="N7" t="s">
        <v>77</v>
      </c>
      <c r="O7">
        <v>145027.99232409999</v>
      </c>
      <c r="P7">
        <v>121406.5556969</v>
      </c>
      <c r="Q7">
        <v>0.83712498360721799</v>
      </c>
      <c r="R7">
        <v>5.2</v>
      </c>
      <c r="S7">
        <v>0</v>
      </c>
      <c r="T7">
        <v>0</v>
      </c>
      <c r="U7">
        <v>5.2</v>
      </c>
      <c r="V7">
        <v>5.2</v>
      </c>
      <c r="W7">
        <v>5.2</v>
      </c>
      <c r="X7">
        <v>0</v>
      </c>
      <c r="Y7">
        <v>5.2</v>
      </c>
      <c r="Z7">
        <v>2129.4954195822002</v>
      </c>
      <c r="AA7">
        <v>10490.252675154899</v>
      </c>
      <c r="AB7">
        <v>3264.3972857085</v>
      </c>
      <c r="AC7">
        <v>10442.1773838278</v>
      </c>
      <c r="AD7">
        <v>2787.80208814143</v>
      </c>
      <c r="AE7">
        <v>4118.0364530754096</v>
      </c>
      <c r="AF7">
        <v>8181.6947934321397</v>
      </c>
      <c r="AG7">
        <v>25050.466512058101</v>
      </c>
      <c r="AH7">
        <v>1</v>
      </c>
      <c r="AI7">
        <v>3</v>
      </c>
      <c r="AJ7">
        <v>3</v>
      </c>
      <c r="AK7">
        <v>5</v>
      </c>
      <c r="AL7">
        <v>218.4</v>
      </c>
      <c r="AM7">
        <v>3</v>
      </c>
      <c r="AN7" t="s">
        <v>78</v>
      </c>
      <c r="AO7" t="b">
        <v>0</v>
      </c>
      <c r="AP7" t="s">
        <v>78</v>
      </c>
      <c r="AQ7">
        <v>3</v>
      </c>
      <c r="AR7">
        <v>10</v>
      </c>
      <c r="AS7">
        <v>6.2993504659700603</v>
      </c>
      <c r="AT7">
        <v>10</v>
      </c>
      <c r="AU7">
        <v>4.1628478563212497</v>
      </c>
      <c r="AV7">
        <v>2.0098401261409902</v>
      </c>
      <c r="AW7">
        <v>6.3987261043624297</v>
      </c>
      <c r="AX7">
        <v>6</v>
      </c>
      <c r="AY7">
        <v>4</v>
      </c>
      <c r="AZ7">
        <v>26</v>
      </c>
      <c r="BA7">
        <v>1</v>
      </c>
      <c r="BB7">
        <v>0</v>
      </c>
      <c r="BC7">
        <v>0</v>
      </c>
      <c r="BD7">
        <v>0</v>
      </c>
      <c r="BE7">
        <v>0</v>
      </c>
      <c r="BF7">
        <v>0</v>
      </c>
      <c r="BG7">
        <v>1</v>
      </c>
      <c r="BH7">
        <v>0</v>
      </c>
      <c r="BI7">
        <v>2</v>
      </c>
      <c r="BJ7">
        <v>26</v>
      </c>
      <c r="BK7">
        <v>6.3987261043624297</v>
      </c>
      <c r="BL7">
        <v>6</v>
      </c>
      <c r="BM7">
        <v>4</v>
      </c>
      <c r="BN7">
        <v>5.1614518349149296</v>
      </c>
      <c r="BO7">
        <v>21676.712168332899</v>
      </c>
      <c r="BP7" t="s">
        <v>118</v>
      </c>
      <c r="BQ7" t="str">
        <f t="shared" si="0"/>
        <v>מרכזית חוף הכרמל-מרכזית הקריות (דרך המנהרות) (BRT), באר שבע-עכו (רכבת בינעירונית), עכו-באר שבע (רכבת בינעירונית), כרמיאל-חיפה (רכבת פרברית), הרצליה-בית שאן (רכבת פרברית), חיפה-כרמיאל (רכבת פרברית), מרכזית המפרץ-מרכזית חוף הכרמל (דרך חורב) (BRT), נהריה-אילת (רכבת מהירה), מודיעין-קרית שמונה (רכבת בינעירונית), קרית שמונה-מודיעין (רכבת בינעירונית), באר שבע-נהריה (רכבת בינעירונית), חיפה-באר שבע (רכבת מהירה), בית שאן-הרצליה (רכבת פרברית), ירושלים-חיפה (רכבת מהירה), חוף הכרמל-נצרת (רק"ל), אילת-נהריה (רכבת מהירה), כרמיאל-אשקלון (רכבת בינעירונית), אשקלון-כרמיאל (רכבת בינעירונית), מרכזית הקריות-מרכזית חוף הכרמל (דרך המנהרות) (BRT), טבריה-עתלית (רכבת פרברית), נהריה-באר שבע (רכבת בינעירונית), מרכזית חוף הכרמל-מרכזית המפרץ (דרך חורב) (BRT), עתלית-טבריה (רכבת פרברית), חיפה-ירושלים (רכבת מהירה), באר שבע-חיפה (רכבת מהירה), חוף הכרמל-מרכזית הקריות (דרך 22) (רק"ל)</v>
      </c>
      <c r="BR7">
        <f>IF($AP7="ארצי",COUNTIFS($AP$2:$AP$143,"ארצי",$BK$2:$BK$143,"&gt;"&amp;$BK7)+1,COUNTIFS($AP$2:$AP$143,$AP7,$L$2:$L$143,$L7,$BK$2:$BK$143,"&gt;"&amp;$BK7)+1)</f>
        <v>4</v>
      </c>
    </row>
    <row r="8" spans="1:70" x14ac:dyDescent="0.25">
      <c r="A8">
        <v>25</v>
      </c>
      <c r="B8">
        <v>34.868369390017101</v>
      </c>
      <c r="C8">
        <v>32.3224587559477</v>
      </c>
      <c r="D8" t="s">
        <v>444</v>
      </c>
      <c r="E8" t="s">
        <v>445</v>
      </c>
      <c r="F8" t="s">
        <v>98</v>
      </c>
      <c r="G8" t="s">
        <v>99</v>
      </c>
      <c r="H8" t="s">
        <v>446</v>
      </c>
      <c r="I8" t="s">
        <v>447</v>
      </c>
      <c r="J8" t="s">
        <v>74</v>
      </c>
      <c r="K8" t="s">
        <v>75</v>
      </c>
      <c r="L8" t="s">
        <v>75</v>
      </c>
      <c r="M8" t="s">
        <v>131</v>
      </c>
      <c r="N8" t="s">
        <v>132</v>
      </c>
      <c r="O8">
        <v>134264.97</v>
      </c>
      <c r="P8">
        <v>104076.15</v>
      </c>
      <c r="Q8">
        <v>0.77515490451455804</v>
      </c>
      <c r="R8">
        <v>0</v>
      </c>
      <c r="S8">
        <v>0</v>
      </c>
      <c r="T8">
        <v>0</v>
      </c>
      <c r="U8">
        <v>0</v>
      </c>
      <c r="V8">
        <v>7</v>
      </c>
      <c r="W8">
        <v>2</v>
      </c>
      <c r="X8">
        <v>0</v>
      </c>
      <c r="Y8">
        <v>7</v>
      </c>
      <c r="Z8">
        <v>5967.7597411547604</v>
      </c>
      <c r="AA8">
        <v>6674.1140810782799</v>
      </c>
      <c r="AB8">
        <v>15583.550885266701</v>
      </c>
      <c r="AC8">
        <v>12608.1057608752</v>
      </c>
      <c r="AD8">
        <v>13167.8080416065</v>
      </c>
      <c r="AE8">
        <v>11339.4856556595</v>
      </c>
      <c r="AF8">
        <v>34719.118668028001</v>
      </c>
      <c r="AG8">
        <v>30621.705497612998</v>
      </c>
      <c r="AH8">
        <v>0</v>
      </c>
      <c r="AI8">
        <v>2</v>
      </c>
      <c r="AJ8">
        <v>0</v>
      </c>
      <c r="AK8">
        <v>3</v>
      </c>
      <c r="AL8">
        <v>121.2</v>
      </c>
      <c r="AM8">
        <v>1</v>
      </c>
      <c r="AN8" t="s">
        <v>78</v>
      </c>
      <c r="AO8" t="b">
        <v>0</v>
      </c>
      <c r="AP8" t="s">
        <v>78</v>
      </c>
      <c r="AQ8">
        <v>1</v>
      </c>
      <c r="AR8">
        <v>1</v>
      </c>
      <c r="AS8">
        <v>3.8288619034171099</v>
      </c>
      <c r="AT8">
        <v>4</v>
      </c>
      <c r="AU8">
        <v>3.8966678994085102</v>
      </c>
      <c r="AV8">
        <v>2.4795533086490198</v>
      </c>
      <c r="AW8">
        <v>3.3565367801753401</v>
      </c>
      <c r="AX8">
        <v>66</v>
      </c>
      <c r="AY8">
        <v>13</v>
      </c>
      <c r="AZ8">
        <v>16</v>
      </c>
      <c r="BA8">
        <v>0</v>
      </c>
      <c r="BB8">
        <v>0</v>
      </c>
      <c r="BC8">
        <v>2</v>
      </c>
      <c r="BD8">
        <v>0</v>
      </c>
      <c r="BE8">
        <v>0</v>
      </c>
      <c r="BF8">
        <v>0</v>
      </c>
      <c r="BG8">
        <v>0</v>
      </c>
      <c r="BH8">
        <v>0</v>
      </c>
      <c r="BI8">
        <v>2</v>
      </c>
      <c r="BJ8">
        <v>16</v>
      </c>
      <c r="BK8">
        <v>2.7580534438256699</v>
      </c>
      <c r="BL8">
        <v>96</v>
      </c>
      <c r="BM8">
        <v>14</v>
      </c>
      <c r="BN8">
        <v>5.1279627191458301</v>
      </c>
      <c r="BO8">
        <v>31441.188131695999</v>
      </c>
      <c r="BP8" t="s">
        <v>806</v>
      </c>
      <c r="BQ8" t="str">
        <f>SUBSTITUTE(SUBSTITUTE(SUBSTITUTE(SUBSTITUTE(SUBSTITUTE(SUBSTITUTE(SUBSTITUTE(I8,"[",""),"]",""),"'",""),"M1-LOD-KS","לוד-כפרסבא (מטרו)"),"M1-KS-LOD","כפר סבא-לוד (מטרו)"),"M1-RA-RE","רעננה-רחובות (מטרו)"),"M1-RE-RA","רחובות-רעננה (מטרו)")</f>
        <v>הרצליה-נתניה מזרח (רק"ל), נתניה מזרח-הרצליה (רק"ל), באר שבע-עכו (רכבת בינעירונית), שוקת-זיכרון יעקב (רכבת פרברית), זיכרון יעקב-אשקלון (רכבת פרברית), עכו-באר שבע (רכבת בינעירונית), אשקלון-כרמיאל (רכבת בינעירונית), נתניה-ירושלים (רכבת פרברית), זיכרון יעקב-שוקת (רכבת פרברית), נהריה-באר שבע (רכבת בינעירונית), מודיעין-קרית שמונה (רכבת בינעירונית), קרית שמונה-מודיעין (רכבת בינעירונית), ירושלים-נתניה (רכבת פרברית), כרמיאל-אשקלון (רכבת בינעירונית), באר שבע-נהריה (רכבת בינעירונית), אשקלון-זיכרון יעקב (רכבת פרברית)</v>
      </c>
      <c r="BR8">
        <f>IF($AP8="ארצי",COUNTIFS($AP$2:$AP$143,"ארצי",$BK$2:$BK$143,"&gt;"&amp;$BK8)+1,COUNTIFS($AP$2:$AP$143,$AP8,$L$2:$L$143,$L8,$BK$2:$BK$143,"&gt;"&amp;$BK8)+1)</f>
        <v>13</v>
      </c>
    </row>
    <row r="9" spans="1:70" x14ac:dyDescent="0.25">
      <c r="A9">
        <v>43</v>
      </c>
      <c r="B9">
        <v>34.905669840042101</v>
      </c>
      <c r="C9">
        <v>32.323824108457998</v>
      </c>
      <c r="D9" t="s">
        <v>125</v>
      </c>
      <c r="E9" t="s">
        <v>126</v>
      </c>
      <c r="F9" t="s">
        <v>127</v>
      </c>
      <c r="G9" t="s">
        <v>128</v>
      </c>
      <c r="H9" t="s">
        <v>129</v>
      </c>
      <c r="I9" t="s">
        <v>130</v>
      </c>
      <c r="J9" t="s">
        <v>74</v>
      </c>
      <c r="K9" t="s">
        <v>75</v>
      </c>
      <c r="L9" t="s">
        <v>75</v>
      </c>
      <c r="M9" t="s">
        <v>131</v>
      </c>
      <c r="N9" t="s">
        <v>132</v>
      </c>
      <c r="O9">
        <v>37029.660000000003</v>
      </c>
      <c r="P9">
        <v>33981.71</v>
      </c>
      <c r="Q9">
        <v>0.91768895528611305</v>
      </c>
      <c r="R9">
        <v>1</v>
      </c>
      <c r="S9">
        <v>0</v>
      </c>
      <c r="T9">
        <v>0</v>
      </c>
      <c r="U9">
        <v>0</v>
      </c>
      <c r="V9">
        <v>0</v>
      </c>
      <c r="W9">
        <v>1</v>
      </c>
      <c r="X9">
        <v>0</v>
      </c>
      <c r="Y9">
        <v>0</v>
      </c>
      <c r="Z9">
        <v>3236.7406293531299</v>
      </c>
      <c r="AA9">
        <v>1513.72544425819</v>
      </c>
      <c r="AB9">
        <v>5119.1594205069696</v>
      </c>
      <c r="AC9">
        <v>2403.4766195011298</v>
      </c>
      <c r="AD9">
        <v>3309.9692817119098</v>
      </c>
      <c r="AE9">
        <v>1520.28787318695</v>
      </c>
      <c r="AF9">
        <v>11665.869331571999</v>
      </c>
      <c r="AG9">
        <v>5437.4899369462701</v>
      </c>
      <c r="AH9">
        <v>0</v>
      </c>
      <c r="AI9">
        <v>2</v>
      </c>
      <c r="AJ9">
        <v>0</v>
      </c>
      <c r="AK9">
        <v>2</v>
      </c>
      <c r="AL9">
        <v>9.9</v>
      </c>
      <c r="AM9">
        <v>3</v>
      </c>
      <c r="AN9" t="s">
        <v>133</v>
      </c>
      <c r="AO9" t="b">
        <v>0</v>
      </c>
      <c r="AP9" t="s">
        <v>133</v>
      </c>
      <c r="AQ9">
        <v>3</v>
      </c>
      <c r="AR9">
        <v>1</v>
      </c>
      <c r="AS9">
        <v>1</v>
      </c>
      <c r="AT9">
        <v>10</v>
      </c>
      <c r="AU9">
        <v>10</v>
      </c>
      <c r="AV9">
        <v>1.28858622570426</v>
      </c>
      <c r="AW9">
        <v>5.9427131643555402</v>
      </c>
      <c r="AX9">
        <v>8</v>
      </c>
      <c r="AY9">
        <v>1</v>
      </c>
      <c r="AZ9">
        <v>2</v>
      </c>
      <c r="BA9">
        <v>0</v>
      </c>
      <c r="BB9">
        <v>1</v>
      </c>
      <c r="BC9">
        <v>1</v>
      </c>
      <c r="BD9">
        <v>0</v>
      </c>
      <c r="BE9">
        <v>0</v>
      </c>
      <c r="BF9">
        <v>0</v>
      </c>
      <c r="BG9">
        <v>0</v>
      </c>
      <c r="BH9">
        <v>0</v>
      </c>
      <c r="BI9">
        <v>2</v>
      </c>
      <c r="BJ9">
        <v>2</v>
      </c>
      <c r="BK9">
        <v>5.9427131643555402</v>
      </c>
      <c r="BL9">
        <v>8</v>
      </c>
      <c r="BM9">
        <v>1</v>
      </c>
      <c r="BN9">
        <v>4.5685497244501496</v>
      </c>
      <c r="BO9">
        <v>6683.1658158714199</v>
      </c>
      <c r="BP9" t="s">
        <v>134</v>
      </c>
      <c r="BQ9" t="str">
        <f>SUBSTITUTE(SUBSTITUTE(SUBSTITUTE(SUBSTITUTE(SUBSTITUTE(SUBSTITUTE(SUBSTITUTE(I9,"[",""),"]",""),"'",""),"M1-LOD-KS","לוד-כפרסבא (מטרו)"),"M1-KS-LOD","כפר סבא-לוד (מטרו)"),"M1-RA-RE","רעננה-רחובות (מטרו)"),"M1-RE-RA","רחובות-רעננה (מטרו)")</f>
        <v>נתניה-כפ"ס דרך טייבה/קלאנסווה (BRT), נתניה-אשדוד (רק"ל)</v>
      </c>
      <c r="BR9">
        <f>IF($AP9="ארצי",COUNTIFS($AP$2:$AP$143,"ארצי",$BK$2:$BK$143,"&gt;"&amp;$BK9)+1,COUNTIFS($AP$2:$AP$143,$AP9,$L$2:$L$143,$L9,$BK$2:$BK$143,"&gt;"&amp;$BK9)+1)</f>
        <v>1</v>
      </c>
    </row>
    <row r="10" spans="1:70" x14ac:dyDescent="0.25">
      <c r="A10">
        <v>526</v>
      </c>
      <c r="B10">
        <v>35.089992366373302</v>
      </c>
      <c r="C10">
        <v>32.859519627536599</v>
      </c>
      <c r="D10" t="s">
        <v>135</v>
      </c>
      <c r="E10" t="s">
        <v>136</v>
      </c>
      <c r="F10" t="s">
        <v>127</v>
      </c>
      <c r="G10" t="s">
        <v>128</v>
      </c>
      <c r="H10" t="s">
        <v>137</v>
      </c>
      <c r="I10" t="s">
        <v>138</v>
      </c>
      <c r="J10" t="s">
        <v>74</v>
      </c>
      <c r="K10" t="s">
        <v>94</v>
      </c>
      <c r="L10" t="s">
        <v>94</v>
      </c>
      <c r="M10" t="s">
        <v>139</v>
      </c>
      <c r="N10" t="s">
        <v>132</v>
      </c>
      <c r="O10">
        <v>15316.333161</v>
      </c>
      <c r="P10">
        <v>8705.9663450000007</v>
      </c>
      <c r="Q10">
        <v>0.56841061456981101</v>
      </c>
      <c r="R10">
        <v>12</v>
      </c>
      <c r="S10">
        <v>0</v>
      </c>
      <c r="T10">
        <v>0</v>
      </c>
      <c r="U10">
        <v>0</v>
      </c>
      <c r="V10">
        <v>0</v>
      </c>
      <c r="W10">
        <v>1</v>
      </c>
      <c r="X10">
        <v>0</v>
      </c>
      <c r="Y10">
        <v>0</v>
      </c>
      <c r="Z10">
        <v>9418.3090477917594</v>
      </c>
      <c r="AA10">
        <v>2625.4620391462199</v>
      </c>
      <c r="AB10">
        <v>13380.248396500499</v>
      </c>
      <c r="AC10">
        <v>7262.6575419660403</v>
      </c>
      <c r="AD10">
        <v>6447.8121966462804</v>
      </c>
      <c r="AE10">
        <v>4736.3175649211898</v>
      </c>
      <c r="AF10">
        <v>29246.369640938501</v>
      </c>
      <c r="AG10">
        <v>14624.4371460334</v>
      </c>
      <c r="AH10">
        <v>1</v>
      </c>
      <c r="AI10">
        <v>2</v>
      </c>
      <c r="AJ10">
        <v>2</v>
      </c>
      <c r="AK10">
        <v>2</v>
      </c>
      <c r="AL10">
        <v>58.3</v>
      </c>
      <c r="AM10">
        <v>3</v>
      </c>
      <c r="AN10" t="s">
        <v>140</v>
      </c>
      <c r="AO10" t="b">
        <v>0</v>
      </c>
      <c r="AP10" t="s">
        <v>140</v>
      </c>
      <c r="AQ10">
        <v>3</v>
      </c>
      <c r="AR10">
        <v>7</v>
      </c>
      <c r="AS10">
        <v>2.2301609714769799</v>
      </c>
      <c r="AT10">
        <v>10</v>
      </c>
      <c r="AU10">
        <v>6.3357528359503199</v>
      </c>
      <c r="AV10">
        <v>2.2332975877416099</v>
      </c>
      <c r="AW10">
        <v>5.8753741802089499</v>
      </c>
      <c r="AX10">
        <v>9</v>
      </c>
      <c r="AY10">
        <v>1</v>
      </c>
      <c r="AZ10">
        <v>13</v>
      </c>
      <c r="BA10">
        <v>1</v>
      </c>
      <c r="BB10">
        <v>0</v>
      </c>
      <c r="BC10">
        <v>4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5</v>
      </c>
      <c r="BJ10">
        <v>13</v>
      </c>
      <c r="BK10">
        <v>5.8753741802089499</v>
      </c>
      <c r="BL10">
        <v>9</v>
      </c>
      <c r="BM10">
        <v>1</v>
      </c>
      <c r="BN10">
        <v>4.1851548045553901</v>
      </c>
      <c r="BO10">
        <v>26321.983141957498</v>
      </c>
      <c r="BP10" t="s">
        <v>141</v>
      </c>
      <c r="BQ10" t="str">
        <f>SUBSTITUTE(SUBSTITUTE(SUBSTITUTE(SUBSTITUTE(SUBSTITUTE(SUBSTITUTE(SUBSTITUTE(I10,"[",""),"]",""),"'",""),"M1-LOD-KS","לוד-כפרסבא (מטרו)"),"M1-KS-LOD","כפר סבא-לוד (מטרו)"),"M1-RA-RE","רעננה-רחובות (מטרו)"),"M1-RE-RA","רחובות-רעננה (מטרו)")</f>
        <v>מרכזית חוף הכרמל-מרכזית הקריות (דרך המנהרות) (BRT), מרכזית הקריות-גילעם (דרך הקריון) (BRT), מרכזית הקריות-הדר (דרך קרית ים) (BRT), גילעם-מרכזית הקריות (דרך בן גוריון) (BRT), בת גלים - מרכזית הקריות (BRT), גילעם-מרכזית הקריות (דרך הקריון) (BRT), מרכזית הקריות-גילעם (דרך בן גוריון) (BRT), מרכזית הקריות - בת גלים (BRT), מרכזית הקריות-מרכזית חוף הכרמל (דרך המנהרות) (BRT), מרכזית הקריות-גילעם (דרך גבעת טל ואח"י אילת) (BRT), גילעם-מרכזית הקריות (דרך גבעת טל ואח"י אילת) (BRT), הדר-מרכזית הקריות (דרך קרית ים) (BRT), מרכזית הקריות-חוף הכרמל (דרך 22) (רק"ל)</v>
      </c>
      <c r="BR10">
        <f>IF($AP10="ארצי",COUNTIFS($AP$2:$AP$143,"ארצי",$BK$2:$BK$143,"&gt;"&amp;$BK10)+1,COUNTIFS($AP$2:$AP$143,$AP10,$L$2:$L$143,$L10,$BK$2:$BK$143,"&gt;"&amp;$BK10)+1)</f>
        <v>1</v>
      </c>
    </row>
    <row r="11" spans="1:70" x14ac:dyDescent="0.25">
      <c r="A11">
        <v>154</v>
      </c>
      <c r="B11">
        <v>34.870144740043699</v>
      </c>
      <c r="C11">
        <v>32.2944200986365</v>
      </c>
      <c r="D11" t="s">
        <v>142</v>
      </c>
      <c r="E11" t="s">
        <v>143</v>
      </c>
      <c r="F11" t="s">
        <v>127</v>
      </c>
      <c r="G11" t="s">
        <v>128</v>
      </c>
      <c r="H11" t="s">
        <v>144</v>
      </c>
      <c r="I11" t="s">
        <v>145</v>
      </c>
      <c r="J11" t="s">
        <v>74</v>
      </c>
      <c r="K11" t="s">
        <v>75</v>
      </c>
      <c r="L11" t="s">
        <v>75</v>
      </c>
      <c r="M11" t="s">
        <v>131</v>
      </c>
      <c r="N11" t="s">
        <v>132</v>
      </c>
      <c r="O11">
        <v>11865.45</v>
      </c>
      <c r="P11">
        <v>6537.21</v>
      </c>
      <c r="Q11">
        <v>0.55094497048152402</v>
      </c>
      <c r="R11">
        <v>2</v>
      </c>
      <c r="S11">
        <v>0</v>
      </c>
      <c r="T11">
        <v>0</v>
      </c>
      <c r="U11">
        <v>0</v>
      </c>
      <c r="V11">
        <v>0</v>
      </c>
      <c r="W11">
        <v>2</v>
      </c>
      <c r="X11">
        <v>0</v>
      </c>
      <c r="Y11">
        <v>0</v>
      </c>
      <c r="Z11">
        <v>7603.8776439350104</v>
      </c>
      <c r="AA11">
        <v>4530.1894853756003</v>
      </c>
      <c r="AB11">
        <v>11314.631422284499</v>
      </c>
      <c r="AC11">
        <v>9757.6629193417903</v>
      </c>
      <c r="AD11">
        <v>8328.3878003461996</v>
      </c>
      <c r="AE11">
        <v>6586.7882900434897</v>
      </c>
      <c r="AF11">
        <v>27246.896866565701</v>
      </c>
      <c r="AG11">
        <v>20874.640694760801</v>
      </c>
      <c r="AH11">
        <v>0</v>
      </c>
      <c r="AI11">
        <v>2</v>
      </c>
      <c r="AJ11">
        <v>0</v>
      </c>
      <c r="AK11">
        <v>2</v>
      </c>
      <c r="AL11">
        <v>19.8</v>
      </c>
      <c r="AM11">
        <v>1</v>
      </c>
      <c r="AN11" t="s">
        <v>133</v>
      </c>
      <c r="AO11" t="b">
        <v>0</v>
      </c>
      <c r="AP11" t="s">
        <v>133</v>
      </c>
      <c r="AQ11">
        <v>1</v>
      </c>
      <c r="AR11">
        <v>1</v>
      </c>
      <c r="AS11">
        <v>1.2516238350748301</v>
      </c>
      <c r="AT11">
        <v>4</v>
      </c>
      <c r="AU11">
        <v>6.9750808565717701</v>
      </c>
      <c r="AV11">
        <v>2.0325636190990402</v>
      </c>
      <c r="AW11">
        <v>5.7788792117044503</v>
      </c>
      <c r="AX11">
        <v>10</v>
      </c>
      <c r="AY11">
        <v>2</v>
      </c>
      <c r="AZ11">
        <v>4</v>
      </c>
      <c r="BA11">
        <v>0</v>
      </c>
      <c r="BB11">
        <v>0</v>
      </c>
      <c r="BC11">
        <v>2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2</v>
      </c>
      <c r="BJ11">
        <v>4</v>
      </c>
      <c r="BK11">
        <v>5.7788792117044503</v>
      </c>
      <c r="BL11">
        <v>10</v>
      </c>
      <c r="BM11">
        <v>2</v>
      </c>
      <c r="BN11">
        <v>4.0742842135867203</v>
      </c>
      <c r="BO11">
        <v>22149.091929121802</v>
      </c>
      <c r="BP11" t="s">
        <v>146</v>
      </c>
      <c r="BQ11" t="str">
        <f>SUBSTITUTE(SUBSTITUTE(SUBSTITUTE(SUBSTITUTE(SUBSTITUTE(SUBSTITUTE(SUBSTITUTE(I11,"[",""),"]",""),"'",""),"M1-LOD-KS","לוד-כפרסבא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11">
        <f>IF($AP11="ארצי",COUNTIFS($AP$2:$AP$143,"ארצי",$BK$2:$BK$143,"&gt;"&amp;$BK11)+1,COUNTIFS($AP$2:$AP$143,$AP11,$L$2:$L$143,$L11,$BK$2:$BK$143,"&gt;"&amp;$BK11)+1)</f>
        <v>2</v>
      </c>
    </row>
    <row r="12" spans="1:70" x14ac:dyDescent="0.25">
      <c r="A12">
        <v>490</v>
      </c>
      <c r="B12">
        <v>35.0056290153248</v>
      </c>
      <c r="C12">
        <v>32.8108750785509</v>
      </c>
      <c r="D12" t="s">
        <v>147</v>
      </c>
      <c r="E12" t="s">
        <v>148</v>
      </c>
      <c r="F12" t="s">
        <v>149</v>
      </c>
      <c r="G12" t="s">
        <v>150</v>
      </c>
      <c r="H12" t="s">
        <v>151</v>
      </c>
      <c r="I12" t="s">
        <v>152</v>
      </c>
      <c r="J12" t="s">
        <v>74</v>
      </c>
      <c r="K12" t="s">
        <v>94</v>
      </c>
      <c r="L12" t="s">
        <v>94</v>
      </c>
      <c r="M12" t="s">
        <v>76</v>
      </c>
      <c r="N12" t="s">
        <v>77</v>
      </c>
      <c r="O12">
        <v>4233.2291475000002</v>
      </c>
      <c r="P12">
        <v>1797.8467334500001</v>
      </c>
      <c r="Q12">
        <v>0.42469865693704401</v>
      </c>
      <c r="R12">
        <v>10</v>
      </c>
      <c r="S12">
        <v>0</v>
      </c>
      <c r="T12">
        <v>0</v>
      </c>
      <c r="U12">
        <v>0</v>
      </c>
      <c r="V12">
        <v>7</v>
      </c>
      <c r="W12">
        <v>4</v>
      </c>
      <c r="X12">
        <v>0</v>
      </c>
      <c r="Y12">
        <v>7</v>
      </c>
      <c r="Z12">
        <v>5897.6852314977396</v>
      </c>
      <c r="AA12">
        <v>15639.509914152</v>
      </c>
      <c r="AB12">
        <v>16894.146021713099</v>
      </c>
      <c r="AC12">
        <v>31213.001228530298</v>
      </c>
      <c r="AD12">
        <v>12242.923563624299</v>
      </c>
      <c r="AE12">
        <v>10616.2050377708</v>
      </c>
      <c r="AF12">
        <v>35034.7548168352</v>
      </c>
      <c r="AG12">
        <v>57468.716180453201</v>
      </c>
      <c r="AH12">
        <v>1</v>
      </c>
      <c r="AI12">
        <v>3</v>
      </c>
      <c r="AJ12">
        <v>3</v>
      </c>
      <c r="AK12">
        <v>4</v>
      </c>
      <c r="AL12">
        <v>196.3</v>
      </c>
      <c r="AM12">
        <v>0</v>
      </c>
      <c r="AN12" t="s">
        <v>140</v>
      </c>
      <c r="AO12" t="b">
        <v>0</v>
      </c>
      <c r="AP12" t="s">
        <v>140</v>
      </c>
      <c r="AQ12">
        <v>0</v>
      </c>
      <c r="AR12">
        <v>10</v>
      </c>
      <c r="AS12">
        <v>5.7376447331262304</v>
      </c>
      <c r="AT12">
        <v>1</v>
      </c>
      <c r="AU12">
        <v>3.5980354623269601</v>
      </c>
      <c r="AV12">
        <v>2.8682532384912101</v>
      </c>
      <c r="AW12">
        <v>5.6223551611698603</v>
      </c>
      <c r="AX12">
        <v>11</v>
      </c>
      <c r="AY12">
        <v>2</v>
      </c>
      <c r="AZ12">
        <v>28</v>
      </c>
      <c r="BA12">
        <v>2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2</v>
      </c>
      <c r="BH12">
        <v>0</v>
      </c>
      <c r="BI12">
        <v>4</v>
      </c>
      <c r="BJ12">
        <v>28</v>
      </c>
      <c r="BK12">
        <v>5.6223551611698603</v>
      </c>
      <c r="BL12">
        <v>11</v>
      </c>
      <c r="BM12">
        <v>2</v>
      </c>
      <c r="BN12">
        <v>3.6266717777584998</v>
      </c>
      <c r="BO12">
        <v>39521.547089558801</v>
      </c>
      <c r="BP12" t="s">
        <v>153</v>
      </c>
      <c r="BQ12" t="str">
        <f>SUBSTITUTE(SUBSTITUTE(SUBSTITUTE(SUBSTITUTE(SUBSTITUTE(SUBSTITUTE(SUBSTITUTE(I12,"[",""),"]",""),"'",""),"M1-LOD-KS","לוד-כפרסבא (מטרו)"),"M1-KS-LOD","כפר סבא-לוד (מטרו)"),"M1-RA-RE","רעננה-רחובות (מטרו)"),"M1-RE-RA","רחובות-רעננה (מטרו)")</f>
        <v>נצרת-חוף הכרמל (רק"ל), חוף הכרמל-נצרת (רק"ל), חוף הכרמל-מרכזית הקריות (דרך 22) (רק"ל), מרכזית הקריות-חוף הכרמל (דרך 22) (רק"ל), הטכניון-בת גלים (דרך העצמאות) (BRT), בת גלים - מרכזית הקריות (BRT), בת גלים-יגור/רכסים (BRT), יגור/רכסים-בת גלים (BRT), מרכזית הקריות - בת גלים (BRT), נאות כרמל-מרכזית המפרץ (דרך ההגנה) (BRT), מרכזית המפרץ-טירת כרמל (דרך ההגנה) (BRT), טירת כרמל-מרכזית המפרץ (דרך ההגנה) (BRT), בת גלים-הטכניון (דרך העצמאות) (BRT), מרכזית המפרץ-נאות כרמל (דרך ההגנה) (BRT), באר שבע-עכו (רכבת בינעירונית), עכו-באר שבע (רכבת בינעירונית), אשקלון-כרמיאל (רכבת בינעירונית), כרמיאל-חיפה (רכבת פרברית), הרצליה-בית שאן (רכבת פרברית), חיפה-כרמיאל (רכבת פרברית), טבריה-עתלית (רכבת פרברית), נהריה-באר שבע (רכבת בינעירונית), בית שאן-הרצליה (רכבת פרברית), מודיעין-קרית שמונה (רכבת בינעירונית), קרית שמונה-מודיעין (רכבת בינעירונית), עתלית-טבריה (רכבת פרברית), כרמיאל-אשקלון (רכבת בינעירונית), באר שבע-נהריה (רכבת בינעירונית)</v>
      </c>
      <c r="BR12">
        <f>IF($AP12="ארצי",COUNTIFS($AP$2:$AP$143,"ארצי",$BK$2:$BK$143,"&gt;"&amp;$BK12)+1,COUNTIFS($AP$2:$AP$143,$AP12,$L$2:$L$143,$L12,$BK$2:$BK$143,"&gt;"&amp;$BK12)+1)</f>
        <v>2</v>
      </c>
    </row>
    <row r="13" spans="1:70" x14ac:dyDescent="0.25">
      <c r="A13">
        <v>40</v>
      </c>
      <c r="B13">
        <v>34.871027388161799</v>
      </c>
      <c r="C13">
        <v>32.300839967336003</v>
      </c>
      <c r="D13" t="s">
        <v>154</v>
      </c>
      <c r="E13" t="s">
        <v>155</v>
      </c>
      <c r="F13" t="s">
        <v>127</v>
      </c>
      <c r="G13" t="s">
        <v>128</v>
      </c>
      <c r="H13" t="s">
        <v>144</v>
      </c>
      <c r="I13" t="s">
        <v>145</v>
      </c>
      <c r="J13" t="s">
        <v>74</v>
      </c>
      <c r="K13" t="s">
        <v>75</v>
      </c>
      <c r="L13" t="s">
        <v>75</v>
      </c>
      <c r="M13" t="s">
        <v>131</v>
      </c>
      <c r="N13" t="s">
        <v>132</v>
      </c>
      <c r="O13">
        <v>4014.06</v>
      </c>
      <c r="P13">
        <v>186.41</v>
      </c>
      <c r="Q13">
        <v>4.6439265980079997E-2</v>
      </c>
      <c r="R13">
        <v>1</v>
      </c>
      <c r="S13">
        <v>0</v>
      </c>
      <c r="T13">
        <v>0</v>
      </c>
      <c r="U13">
        <v>0</v>
      </c>
      <c r="V13">
        <v>0</v>
      </c>
      <c r="W13">
        <v>1</v>
      </c>
      <c r="X13">
        <v>0</v>
      </c>
      <c r="Y13">
        <v>0</v>
      </c>
      <c r="Z13">
        <v>12163.4537359612</v>
      </c>
      <c r="AA13">
        <v>3942.5543802358702</v>
      </c>
      <c r="AB13">
        <v>18265.817783117101</v>
      </c>
      <c r="AC13">
        <v>9316.6785355549891</v>
      </c>
      <c r="AD13">
        <v>11154.4074022349</v>
      </c>
      <c r="AE13">
        <v>5576.3146022026103</v>
      </c>
      <c r="AF13">
        <v>41583.678921313302</v>
      </c>
      <c r="AG13">
        <v>18835.5475179934</v>
      </c>
      <c r="AH13">
        <v>0</v>
      </c>
      <c r="AI13">
        <v>2</v>
      </c>
      <c r="AJ13">
        <v>0</v>
      </c>
      <c r="AK13">
        <v>2</v>
      </c>
      <c r="AL13">
        <v>9.9</v>
      </c>
      <c r="AM13">
        <v>2</v>
      </c>
      <c r="AN13" t="s">
        <v>133</v>
      </c>
      <c r="AO13" t="b">
        <v>0</v>
      </c>
      <c r="AP13" t="s">
        <v>133</v>
      </c>
      <c r="AQ13">
        <v>2</v>
      </c>
      <c r="AR13">
        <v>1</v>
      </c>
      <c r="AS13">
        <v>1</v>
      </c>
      <c r="AT13">
        <v>7</v>
      </c>
      <c r="AU13">
        <v>4.0943811522712998</v>
      </c>
      <c r="AV13">
        <v>2.0920244596969901</v>
      </c>
      <c r="AW13">
        <v>5.53025668275514</v>
      </c>
      <c r="AX13">
        <v>12</v>
      </c>
      <c r="AY13">
        <v>3</v>
      </c>
      <c r="AZ13">
        <v>2</v>
      </c>
      <c r="BA13">
        <v>0</v>
      </c>
      <c r="BB13">
        <v>0</v>
      </c>
      <c r="BC13">
        <v>2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2</v>
      </c>
      <c r="BJ13">
        <v>2</v>
      </c>
      <c r="BK13">
        <v>5.53025668275514</v>
      </c>
      <c r="BL13">
        <v>12</v>
      </c>
      <c r="BM13">
        <v>3</v>
      </c>
      <c r="BN13">
        <v>3.6035838597992398</v>
      </c>
      <c r="BO13">
        <v>23385.173798657401</v>
      </c>
      <c r="BP13" t="s">
        <v>156</v>
      </c>
      <c r="BQ13" t="str">
        <f>SUBSTITUTE(SUBSTITUTE(SUBSTITUTE(SUBSTITUTE(SUBSTITUTE(SUBSTITUTE(SUBSTITUTE(I13,"[",""),"]",""),"'",""),"M1-LOD-KS","לוד-כפרסבא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13">
        <f>IF($AP13="ארצי",COUNTIFS($AP$2:$AP$143,"ארצי",$BK$2:$BK$143,"&gt;"&amp;$BK13)+1,COUNTIFS($AP$2:$AP$143,$AP13,$L$2:$L$143,$L13,$BK$2:$BK$143,"&gt;"&amp;$BK13)+1)</f>
        <v>3</v>
      </c>
    </row>
    <row r="14" spans="1:70" x14ac:dyDescent="0.25">
      <c r="A14">
        <v>579</v>
      </c>
      <c r="B14">
        <v>34.794528947505697</v>
      </c>
      <c r="C14">
        <v>32.072632670908902</v>
      </c>
      <c r="D14" t="s">
        <v>157</v>
      </c>
      <c r="E14" t="s">
        <v>158</v>
      </c>
      <c r="F14" t="s">
        <v>159</v>
      </c>
      <c r="G14" t="s">
        <v>160</v>
      </c>
      <c r="H14" t="s">
        <v>161</v>
      </c>
      <c r="I14" t="s">
        <v>162</v>
      </c>
      <c r="J14" t="s">
        <v>74</v>
      </c>
      <c r="K14" t="s">
        <v>75</v>
      </c>
      <c r="L14" t="s">
        <v>75</v>
      </c>
      <c r="M14" t="s">
        <v>76</v>
      </c>
      <c r="N14" t="s">
        <v>77</v>
      </c>
      <c r="O14">
        <v>786767.14</v>
      </c>
      <c r="P14">
        <v>627653.35</v>
      </c>
      <c r="Q14">
        <v>0.79776253746438797</v>
      </c>
      <c r="R14">
        <v>0</v>
      </c>
      <c r="S14">
        <v>0</v>
      </c>
      <c r="T14">
        <v>0</v>
      </c>
      <c r="U14">
        <v>0</v>
      </c>
      <c r="V14">
        <v>11</v>
      </c>
      <c r="W14">
        <v>0</v>
      </c>
      <c r="X14">
        <v>6</v>
      </c>
      <c r="Y14">
        <v>11</v>
      </c>
      <c r="Z14">
        <v>17985.147837490302</v>
      </c>
      <c r="AA14">
        <v>59465.717203046603</v>
      </c>
      <c r="AB14">
        <v>35361.031452884701</v>
      </c>
      <c r="AC14">
        <v>88079.874260596902</v>
      </c>
      <c r="AD14">
        <v>27328.8125826217</v>
      </c>
      <c r="AE14">
        <v>48361.006591140896</v>
      </c>
      <c r="AF14">
        <v>80674.991872996805</v>
      </c>
      <c r="AG14">
        <v>195906.598054784</v>
      </c>
      <c r="AH14">
        <v>0</v>
      </c>
      <c r="AI14">
        <v>3</v>
      </c>
      <c r="AJ14">
        <v>0</v>
      </c>
      <c r="AK14">
        <v>3</v>
      </c>
      <c r="AL14">
        <v>214.8</v>
      </c>
      <c r="AM14">
        <v>0</v>
      </c>
      <c r="AN14" t="s">
        <v>78</v>
      </c>
      <c r="AO14" t="b">
        <v>0</v>
      </c>
      <c r="AP14" t="s">
        <v>78</v>
      </c>
      <c r="AQ14">
        <v>0</v>
      </c>
      <c r="AR14">
        <v>1</v>
      </c>
      <c r="AS14">
        <v>6.2078508895792099</v>
      </c>
      <c r="AT14">
        <v>1</v>
      </c>
      <c r="AU14">
        <v>10</v>
      </c>
      <c r="AV14">
        <v>9.2824181488786</v>
      </c>
      <c r="AW14">
        <v>5.5290920240539796</v>
      </c>
      <c r="AX14">
        <v>13</v>
      </c>
      <c r="AY14">
        <v>5</v>
      </c>
      <c r="AZ14">
        <v>28</v>
      </c>
      <c r="BA14">
        <v>0</v>
      </c>
      <c r="BB14">
        <v>2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2</v>
      </c>
      <c r="BJ14">
        <v>28</v>
      </c>
      <c r="BK14">
        <v>5.5290920240539796</v>
      </c>
      <c r="BL14">
        <v>13</v>
      </c>
      <c r="BM14">
        <v>5</v>
      </c>
      <c r="BN14">
        <v>5.8958462129469797</v>
      </c>
      <c r="BO14">
        <v>172860.27681842601</v>
      </c>
      <c r="BP14" t="s">
        <v>163</v>
      </c>
      <c r="BQ14" t="str">
        <f>SUBSTITUTE(SUBSTITUTE(SUBSTITUTE(SUBSTITUTE(SUBSTITUTE(SUBSTITUTE(SUBSTITUTE(I14,"[",""),"]",""),"'",""),"M1-LOD-KS","לוד-כפרסבא (מטרו)"),"M1-KS-LOD","כפר סבא-לוד (מטרו)"),"M1-RA-RE","רעננה-רחובות (מטרו)"),"M1-RE-RA","רחובות-רעננה (מטרו)")</f>
        <v>באר שבע-עכו (רכבת בינעירונית), עכו-באר שבע (רכבת בינעירונית), בית שמש-הרצליה (רכבת פרברית), הרצליה-בית שאן (רכבת פרברית), באר שבע-מודיעין (רכבת פרברית), מודיעין-קרית שמונה (רכבת בינעירונית), קרית שמונה-מודיעין (רכבת בינעירונית), שוקת-זיכרון יעקב (רכבת פרברית), באר שבע-נהריה (רכבת בינעירונית), הרצליה-בית שמש (רכבת פרברית), נתניה-ירושלים (רכבת פרברית), בית שאן-הרצליה (רכבת פרברית), ראש העין-באר שבע (רכבת פרברית), אשקלון-זיכרון יעקב (רכבת פרברית), כרמיאל-אשקלון (רכבת בינעירונית), אשקלון-כרמיאל (רכבת בינעירונית), זיכרון יעקב-שוקת (רכבת פרברית), מודיעין-באר שבע (רכבת פרברית), זיכרון יעקב-אשקלון (רכבת פרברית), באר שבע-ראש העין (רכבת פרברית), נהריה-באר שבע (רכבת בינעירונית), ירושלים-נתניה (רכבת פרברית), וולפסון-סגולה (מטרו), סגולה-וולפסון (מטרו), רעננה-רחובות (מטרו), רחובות-רעננה (מטרו), כפר סבא-לוד (מטרו), לוד-כפרסבא (מטרו)</v>
      </c>
      <c r="BR14">
        <f>IF($AP14="ארצי",COUNTIFS($AP$2:$AP$143,"ארצי",$BK$2:$BK$143,"&gt;"&amp;$BK14)+1,COUNTIFS($AP$2:$AP$143,$AP14,$L$2:$L$143,$L14,$BK$2:$BK$143,"&gt;"&amp;$BK14)+1)</f>
        <v>5</v>
      </c>
    </row>
    <row r="15" spans="1:70" x14ac:dyDescent="0.25">
      <c r="A15">
        <v>622</v>
      </c>
      <c r="B15">
        <v>34.808885221240999</v>
      </c>
      <c r="C15">
        <v>32.133363417239799</v>
      </c>
      <c r="D15" t="s">
        <v>164</v>
      </c>
      <c r="E15" t="s">
        <v>165</v>
      </c>
      <c r="F15" t="s">
        <v>166</v>
      </c>
      <c r="G15" t="s">
        <v>167</v>
      </c>
      <c r="H15" t="s">
        <v>168</v>
      </c>
      <c r="I15" t="s">
        <v>169</v>
      </c>
      <c r="J15" t="s">
        <v>74</v>
      </c>
      <c r="K15" t="s">
        <v>75</v>
      </c>
      <c r="L15" t="s">
        <v>75</v>
      </c>
      <c r="M15" t="s">
        <v>139</v>
      </c>
      <c r="N15" t="s">
        <v>132</v>
      </c>
      <c r="O15">
        <v>267278.11</v>
      </c>
      <c r="P15">
        <v>260509.38</v>
      </c>
      <c r="Q15">
        <v>0.974675329752967</v>
      </c>
      <c r="R15">
        <v>0</v>
      </c>
      <c r="S15">
        <v>0</v>
      </c>
      <c r="T15">
        <v>0</v>
      </c>
      <c r="U15">
        <v>9.3333333333333304</v>
      </c>
      <c r="V15">
        <v>9.3333333333333304</v>
      </c>
      <c r="W15">
        <v>0</v>
      </c>
      <c r="X15">
        <v>6</v>
      </c>
      <c r="Y15">
        <v>9.3333333333333304</v>
      </c>
      <c r="Z15">
        <v>13250.6553025182</v>
      </c>
      <c r="AA15">
        <v>5025.80161648383</v>
      </c>
      <c r="AB15">
        <v>20570.681383832401</v>
      </c>
      <c r="AC15">
        <v>8873.7295480002103</v>
      </c>
      <c r="AD15">
        <v>10990.4856582723</v>
      </c>
      <c r="AE15">
        <v>5678.0561192931</v>
      </c>
      <c r="AF15">
        <v>44811.822344622997</v>
      </c>
      <c r="AG15">
        <v>19577.587283777098</v>
      </c>
      <c r="AH15">
        <v>0</v>
      </c>
      <c r="AI15">
        <v>2</v>
      </c>
      <c r="AJ15">
        <v>0</v>
      </c>
      <c r="AK15">
        <v>4</v>
      </c>
      <c r="AL15">
        <v>301.60000000000002</v>
      </c>
      <c r="AM15">
        <v>3</v>
      </c>
      <c r="AN15" t="s">
        <v>78</v>
      </c>
      <c r="AO15" t="b">
        <v>0</v>
      </c>
      <c r="AP15" t="s">
        <v>78</v>
      </c>
      <c r="AQ15">
        <v>3</v>
      </c>
      <c r="AR15">
        <v>1</v>
      </c>
      <c r="AS15">
        <v>8.4140073425585893</v>
      </c>
      <c r="AT15">
        <v>10</v>
      </c>
      <c r="AU15">
        <v>6.2732008202800902</v>
      </c>
      <c r="AV15">
        <v>2.1516382059258801</v>
      </c>
      <c r="AW15">
        <v>5.4658845367195896</v>
      </c>
      <c r="AX15">
        <v>14</v>
      </c>
      <c r="AY15">
        <v>6</v>
      </c>
      <c r="AZ15">
        <v>34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2</v>
      </c>
      <c r="BG15">
        <v>0</v>
      </c>
      <c r="BH15">
        <v>0</v>
      </c>
      <c r="BI15">
        <v>2</v>
      </c>
      <c r="BJ15">
        <v>34</v>
      </c>
      <c r="BK15">
        <v>5.4658845367195896</v>
      </c>
      <c r="BL15">
        <v>14</v>
      </c>
      <c r="BM15">
        <v>6</v>
      </c>
      <c r="BN15">
        <v>5.4269633916203697</v>
      </c>
      <c r="BO15">
        <v>24624.434295946299</v>
      </c>
      <c r="BP15" t="s">
        <v>170</v>
      </c>
      <c r="BQ15" t="str">
        <f>SUBSTITUTE(SUBSTITUTE(SUBSTITUTE(SUBSTITUTE(SUBSTITUTE(SUBSTITUTE(SUBSTITUTE(I15,"[",""),"]",""),"'",""),"M1-LOD-KS","לוד-כפרסבא (מטרו)"),"M1-KS-LOD","כפר סבא-לוד (מטרו)"),"M1-RA-RE","רעננה-רחובות (מטרו)"),"M1-RE-RA","רחובות-רעננה (מטרו)")</f>
        <v>רחובות-רעננה (מטרו), לוד-כפרסבא (מטרו), בת ים-הרצליה (מטרו), רעננה-רחובות (מטרו), הרצליה-בת ים (מטרו), כפר סבא-לוד (מטרו), באר שבע-עכו (רכבת בינעירונית), עכו-באר שבע (רכבת בינעירונית), בית שמש-הרצליה (רכבת פרברית), הרצליה-בית שאן (רכבת פרברית), באר שבע-מודיעין (רכבת פרברית), נהריה-אילת (רכבת מהירה), מודיעין-קרית שמונה (רכבת בינעירונית), קרית שמונה-מודיעין (רכבת בינעירונית), שוקת-זיכרון יעקב (רכבת פרברית), באר שבע-נהריה (רכבת בינעירונית), הרצליה-בית שמש (רכבת פרברית), נתניה-ירושלים (רכבת פרברית), חיפה-באר שבע (רכבת מהירה), בית שאן-הרצליה (רכבת פרברית), ראש העין-באר שבע (רכבת פרברית), ירושלים-חיפה (רכבת מהירה), ירושלים-נתניה (רכבת פרברית), אילת-נהריה (רכבת מהירה), כרמיאל-אשקלון (רכבת בינעירונית), אשקלון-כרמיאל (רכבת בינעירונית), זיכרון יעקב-שוקת (רכבת פרברית), מודיעין-באר שבע (רכבת פרברית), זיכרון יעקב-אשקלון (רכבת פרברית), באר שבע-ראש העין (רכבת פרברית), נהריה-באר שבע (רכבת בינעירונית), חיפה-ירושלים (רכבת מהירה), באר שבע-חיפה (רכבת מהירה), אשקלון-זיכרון יעקב (רכבת פרברית)</v>
      </c>
      <c r="BR15">
        <f>IF($AP15="ארצי",COUNTIFS($AP$2:$AP$143,"ארצי",$BK$2:$BK$143,"&gt;"&amp;$BK15)+1,COUNTIFS($AP$2:$AP$143,$AP15,$L$2:$L$143,$L15,$BK$2:$BK$143,"&gt;"&amp;$BK15)+1)</f>
        <v>6</v>
      </c>
    </row>
    <row r="16" spans="1:70" x14ac:dyDescent="0.25">
      <c r="A16">
        <v>36</v>
      </c>
      <c r="B16">
        <v>34.870704699792398</v>
      </c>
      <c r="C16">
        <v>32.305937926412099</v>
      </c>
      <c r="D16" t="s">
        <v>171</v>
      </c>
      <c r="E16" t="s">
        <v>172</v>
      </c>
      <c r="F16" t="s">
        <v>127</v>
      </c>
      <c r="G16" t="s">
        <v>128</v>
      </c>
      <c r="H16" t="s">
        <v>144</v>
      </c>
      <c r="I16" t="s">
        <v>145</v>
      </c>
      <c r="J16" t="s">
        <v>74</v>
      </c>
      <c r="K16" t="s">
        <v>75</v>
      </c>
      <c r="L16" t="s">
        <v>75</v>
      </c>
      <c r="M16" t="s">
        <v>131</v>
      </c>
      <c r="N16" t="s">
        <v>132</v>
      </c>
      <c r="O16">
        <v>3396</v>
      </c>
      <c r="P16">
        <v>78.679999999999893</v>
      </c>
      <c r="Q16">
        <v>2.3168433451118901E-2</v>
      </c>
      <c r="R16">
        <v>1</v>
      </c>
      <c r="S16">
        <v>0</v>
      </c>
      <c r="T16">
        <v>0</v>
      </c>
      <c r="U16">
        <v>0</v>
      </c>
      <c r="V16">
        <v>0</v>
      </c>
      <c r="W16">
        <v>1</v>
      </c>
      <c r="X16">
        <v>0</v>
      </c>
      <c r="Y16">
        <v>0</v>
      </c>
      <c r="Z16">
        <v>10855.327277558599</v>
      </c>
      <c r="AA16">
        <v>5698.7992871763199</v>
      </c>
      <c r="AB16">
        <v>18601.600166758501</v>
      </c>
      <c r="AC16">
        <v>9391.9664856662203</v>
      </c>
      <c r="AD16">
        <v>13573.2736704647</v>
      </c>
      <c r="AE16">
        <v>5685.5097866555798</v>
      </c>
      <c r="AF16">
        <v>43030.201114781899</v>
      </c>
      <c r="AG16">
        <v>20776.275559498099</v>
      </c>
      <c r="AH16">
        <v>0</v>
      </c>
      <c r="AI16">
        <v>2</v>
      </c>
      <c r="AJ16">
        <v>0</v>
      </c>
      <c r="AK16">
        <v>2</v>
      </c>
      <c r="AL16">
        <v>9.9</v>
      </c>
      <c r="AM16">
        <v>2</v>
      </c>
      <c r="AN16" t="s">
        <v>133</v>
      </c>
      <c r="AO16" t="b">
        <v>0</v>
      </c>
      <c r="AP16" t="s">
        <v>133</v>
      </c>
      <c r="AQ16">
        <v>2</v>
      </c>
      <c r="AR16">
        <v>1</v>
      </c>
      <c r="AS16">
        <v>1</v>
      </c>
      <c r="AT16">
        <v>7</v>
      </c>
      <c r="AU16">
        <v>3.6499680528043399</v>
      </c>
      <c r="AV16">
        <v>2.1806271197542002</v>
      </c>
      <c r="AW16">
        <v>5.3810105260886996</v>
      </c>
      <c r="AX16">
        <v>15</v>
      </c>
      <c r="AY16">
        <v>4</v>
      </c>
      <c r="AZ16">
        <v>2</v>
      </c>
      <c r="BA16">
        <v>0</v>
      </c>
      <c r="BB16">
        <v>0</v>
      </c>
      <c r="BC16">
        <v>2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2</v>
      </c>
      <c r="BJ16">
        <v>2</v>
      </c>
      <c r="BK16">
        <v>5.3810105260886996</v>
      </c>
      <c r="BL16">
        <v>15</v>
      </c>
      <c r="BM16">
        <v>4</v>
      </c>
      <c r="BN16">
        <v>3.53096768157191</v>
      </c>
      <c r="BO16">
        <v>25227.060670554802</v>
      </c>
      <c r="BP16" t="s">
        <v>173</v>
      </c>
      <c r="BQ16" t="str">
        <f>SUBSTITUTE(SUBSTITUTE(SUBSTITUTE(SUBSTITUTE(SUBSTITUTE(SUBSTITUTE(SUBSTITUTE(I16,"[",""),"]",""),"'",""),"M1-LOD-KS","לוד-כפרסבא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16">
        <f>IF($AP16="ארצי",COUNTIFS($AP$2:$AP$143,"ארצי",$BK$2:$BK$143,"&gt;"&amp;$BK16)+1,COUNTIFS($AP$2:$AP$143,$AP16,$L$2:$L$143,$L16,$BK$2:$BK$143,"&gt;"&amp;$BK16)+1)</f>
        <v>4</v>
      </c>
    </row>
    <row r="17" spans="1:70" x14ac:dyDescent="0.25">
      <c r="A17">
        <v>1005</v>
      </c>
      <c r="B17">
        <v>34.809136092109703</v>
      </c>
      <c r="C17">
        <v>31.260928579324901</v>
      </c>
      <c r="D17" t="s">
        <v>174</v>
      </c>
      <c r="E17" t="s">
        <v>175</v>
      </c>
      <c r="F17" t="s">
        <v>82</v>
      </c>
      <c r="G17" t="s">
        <v>83</v>
      </c>
      <c r="H17" t="s">
        <v>176</v>
      </c>
      <c r="I17" t="s">
        <v>177</v>
      </c>
      <c r="J17" t="s">
        <v>74</v>
      </c>
      <c r="K17" t="s">
        <v>102</v>
      </c>
      <c r="L17" t="s">
        <v>102</v>
      </c>
      <c r="M17" t="s">
        <v>76</v>
      </c>
      <c r="N17" t="s">
        <v>77</v>
      </c>
      <c r="O17">
        <v>113284</v>
      </c>
      <c r="P17">
        <v>0</v>
      </c>
      <c r="Q17">
        <v>0</v>
      </c>
      <c r="R17">
        <v>0</v>
      </c>
      <c r="S17">
        <v>0</v>
      </c>
      <c r="T17">
        <v>0</v>
      </c>
      <c r="U17">
        <v>4.6666666666666599</v>
      </c>
      <c r="V17">
        <v>4.6666666666666599</v>
      </c>
      <c r="W17">
        <v>4</v>
      </c>
      <c r="X17">
        <v>0</v>
      </c>
      <c r="Y17">
        <v>4.6666666666666599</v>
      </c>
      <c r="Z17">
        <v>8047.30058441439</v>
      </c>
      <c r="AA17">
        <v>11661.936002583199</v>
      </c>
      <c r="AB17">
        <v>13351.813618148301</v>
      </c>
      <c r="AC17">
        <v>17894.124880881402</v>
      </c>
      <c r="AD17">
        <v>9315.9719791282005</v>
      </c>
      <c r="AE17">
        <v>8928.1986567425392</v>
      </c>
      <c r="AF17">
        <v>30715.086181690898</v>
      </c>
      <c r="AG17">
        <v>38484.259540207197</v>
      </c>
      <c r="AH17">
        <v>1</v>
      </c>
      <c r="AI17">
        <v>3</v>
      </c>
      <c r="AJ17">
        <v>3</v>
      </c>
      <c r="AK17">
        <v>4</v>
      </c>
      <c r="AL17">
        <v>153.4</v>
      </c>
      <c r="AM17">
        <v>2</v>
      </c>
      <c r="AN17" t="s">
        <v>78</v>
      </c>
      <c r="AO17" t="b">
        <v>0</v>
      </c>
      <c r="AP17" t="s">
        <v>78</v>
      </c>
      <c r="AQ17">
        <v>2</v>
      </c>
      <c r="AR17">
        <v>10</v>
      </c>
      <c r="AS17">
        <v>4.6472747811352697</v>
      </c>
      <c r="AT17">
        <v>7</v>
      </c>
      <c r="AU17">
        <v>3.3101333920125602</v>
      </c>
      <c r="AV17">
        <v>2.7436091439913599</v>
      </c>
      <c r="AW17">
        <v>5.3606727732567201</v>
      </c>
      <c r="AX17">
        <v>16</v>
      </c>
      <c r="AY17">
        <v>7</v>
      </c>
      <c r="AZ17">
        <v>18</v>
      </c>
      <c r="BA17">
        <v>4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4</v>
      </c>
      <c r="BJ17">
        <v>18</v>
      </c>
      <c r="BK17">
        <v>5.3606727732567201</v>
      </c>
      <c r="BL17">
        <v>16</v>
      </c>
      <c r="BM17">
        <v>7</v>
      </c>
      <c r="BN17">
        <v>5.0541685753320698</v>
      </c>
      <c r="BO17">
        <v>36930.424868503898</v>
      </c>
      <c r="BP17" t="s">
        <v>178</v>
      </c>
      <c r="BQ17" t="str">
        <f>SUBSTITUTE(SUBSTITUTE(SUBSTITUTE(SUBSTITUTE(SUBSTITUTE(SUBSTITUTE(SUBSTITUTE(I17,"[",""),"]",""),"'",""),"M1-LOD-KS","לוד-כפרסבא (מטרו)"),"M1-KS-LOD","כפר סבא-לוד (מטרו)"),"M1-RA-RE","רעננה-רחובות (מטרו)"),"M1-RE-RA","רחובות-רעננה (מטרו)")</f>
        <v>ערד-באר שבע מערב (רק"ל), באר שבע מערב-ערד (רק"ל), צומת שוקת-מרכז רפואי באר שבע (רק"ל), מרכז רפואי באר שבע-צומת שוקת (רק"ל), באר שבע-עכו (רכבת בינעירונית), מודיעין-באר שבע (רכבת פרברית), עכו-באר שבע (רכבת בינעירונית), באר שבע-מודיעין (רכבת פרברית), באר שבע-ראש העין (רכבת פרברית), חיפה-באר שבע (רכבת מהירה), נהריה-באר שבע (רכבת בינעירונית), נהריה-אילת (רכבת מהירה), ראש העין-באר שבע (רכבת פרברית), באר שבע-ירושלים (רכבת בינעירונית), ירושלים-באר שבע (רכבת בינעירונית), אילת-נהריה (רכבת מהירה), באר שבע-חיפה (רכבת מהירה), באר שבע-נהריה (רכבת בינעירונית)</v>
      </c>
      <c r="BR17">
        <f>IF($AP17="ארצי",COUNTIFS($AP$2:$AP$143,"ארצי",$BK$2:$BK$143,"&gt;"&amp;$BK17)+1,COUNTIFS($AP$2:$AP$143,$AP17,$L$2:$L$143,$L17,$BK$2:$BK$143,"&gt;"&amp;$BK17)+1)</f>
        <v>7</v>
      </c>
    </row>
    <row r="18" spans="1:70" x14ac:dyDescent="0.25">
      <c r="A18">
        <v>498</v>
      </c>
      <c r="B18">
        <v>34.999306824222998</v>
      </c>
      <c r="C18">
        <v>32.818843042082896</v>
      </c>
      <c r="D18" t="s">
        <v>179</v>
      </c>
      <c r="E18" t="s">
        <v>180</v>
      </c>
      <c r="F18" t="s">
        <v>181</v>
      </c>
      <c r="G18" t="s">
        <v>182</v>
      </c>
      <c r="H18" t="s">
        <v>183</v>
      </c>
      <c r="I18" t="s">
        <v>184</v>
      </c>
      <c r="J18" t="s">
        <v>74</v>
      </c>
      <c r="K18" t="s">
        <v>94</v>
      </c>
      <c r="L18" t="s">
        <v>94</v>
      </c>
      <c r="M18" t="s">
        <v>76</v>
      </c>
      <c r="N18" t="s">
        <v>77</v>
      </c>
      <c r="O18">
        <v>3202.2589840000001</v>
      </c>
      <c r="P18">
        <v>1694.3996933999999</v>
      </c>
      <c r="Q18">
        <v>0.52912637668159301</v>
      </c>
      <c r="R18">
        <v>10</v>
      </c>
      <c r="S18">
        <v>0</v>
      </c>
      <c r="T18">
        <v>1</v>
      </c>
      <c r="U18">
        <v>0</v>
      </c>
      <c r="V18">
        <v>0</v>
      </c>
      <c r="W18">
        <v>0</v>
      </c>
      <c r="X18">
        <v>0</v>
      </c>
      <c r="Y18">
        <v>0</v>
      </c>
      <c r="Z18">
        <v>7625.1409390164999</v>
      </c>
      <c r="AA18">
        <v>33683.207476903903</v>
      </c>
      <c r="AB18">
        <v>11494.657983949501</v>
      </c>
      <c r="AC18">
        <v>19588.0576397228</v>
      </c>
      <c r="AD18">
        <v>9030.1841244995194</v>
      </c>
      <c r="AE18">
        <v>6827.9401071062803</v>
      </c>
      <c r="AF18">
        <v>28149.983047465601</v>
      </c>
      <c r="AG18">
        <v>60099.205223733101</v>
      </c>
      <c r="AH18">
        <v>1</v>
      </c>
      <c r="AI18">
        <v>3</v>
      </c>
      <c r="AJ18">
        <v>3</v>
      </c>
      <c r="AK18">
        <v>2</v>
      </c>
      <c r="AL18">
        <v>46.2</v>
      </c>
      <c r="AM18">
        <v>2</v>
      </c>
      <c r="AN18" t="s">
        <v>140</v>
      </c>
      <c r="AO18" t="b">
        <v>0</v>
      </c>
      <c r="AP18" t="s">
        <v>140</v>
      </c>
      <c r="AQ18">
        <v>2</v>
      </c>
      <c r="AR18">
        <v>10</v>
      </c>
      <c r="AS18">
        <v>1.9226207286077299</v>
      </c>
      <c r="AT18">
        <v>7</v>
      </c>
      <c r="AU18">
        <v>3.0038306515968598</v>
      </c>
      <c r="AV18">
        <v>2.62861115430041</v>
      </c>
      <c r="AW18">
        <v>5.3146683267987997</v>
      </c>
      <c r="AX18">
        <v>17</v>
      </c>
      <c r="AY18">
        <v>3</v>
      </c>
      <c r="AZ18">
        <v>11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11</v>
      </c>
      <c r="BK18">
        <v>5.3146683267987997</v>
      </c>
      <c r="BL18">
        <v>17</v>
      </c>
      <c r="BM18">
        <v>3</v>
      </c>
      <c r="BN18">
        <v>3.5054564527468401</v>
      </c>
      <c r="BO18">
        <v>34539.827482719098</v>
      </c>
      <c r="BP18" t="s">
        <v>185</v>
      </c>
      <c r="BQ18" t="str">
        <f>SUBSTITUTE(SUBSTITUTE(SUBSTITUTE(SUBSTITUTE(SUBSTITUTE(SUBSTITUTE(SUBSTITUTE(I18,"[",""),"]",""),"'",""),"M1-LOD-KS","לוד-כפרסבא (מטרו)"),"M1-KS-LOD","כפר סבא-לוד (מטרו)"),"M1-RA-RE","רעננה-רחובות (מטרו)"),"M1-RE-RA","רחובות-רעננה (מטרו)")</f>
        <v>הטכניון-בת גלים (דרך העצמאות) (BRT), בת גלים - מרכזית הקריות (BRT), בת גלים-יגור/רכסים (BRT), יגור/רכסים-בת גלים (BRT), מרכזית הקריות - בת גלים (BRT), נאות כרמל-מרכזית המפרץ (דרך ההגנה) (BRT), מרכזית המפרץ-טירת כרמל (דרך ההגנה) (BRT), טירת כרמל-מרכזית המפרץ (דרך ההגנה) (BRT), בת גלים-הטכניון (דרך העצמאות) (BRT), מרכזית המפרץ-נאות כרמל (דרך ההגנה) (BRT), s0110a</v>
      </c>
      <c r="BR18">
        <f>IF($AP18="ארצי",COUNTIFS($AP$2:$AP$143,"ארצי",$BK$2:$BK$143,"&gt;"&amp;$BK18)+1,COUNTIFS($AP$2:$AP$143,$AP18,$L$2:$L$143,$L18,$BK$2:$BK$143,"&gt;"&amp;$BK18)+1)</f>
        <v>3</v>
      </c>
    </row>
    <row r="19" spans="1:70" x14ac:dyDescent="0.25">
      <c r="A19">
        <v>271</v>
      </c>
      <c r="B19">
        <v>35.218129711898797</v>
      </c>
      <c r="C19">
        <v>31.782964038883001</v>
      </c>
      <c r="D19" t="s">
        <v>186</v>
      </c>
      <c r="E19" t="s">
        <v>187</v>
      </c>
      <c r="F19" t="s">
        <v>188</v>
      </c>
      <c r="G19" t="s">
        <v>189</v>
      </c>
      <c r="H19" t="s">
        <v>190</v>
      </c>
      <c r="I19" t="s">
        <v>191</v>
      </c>
      <c r="J19" t="s">
        <v>74</v>
      </c>
      <c r="K19" t="s">
        <v>86</v>
      </c>
      <c r="L19" t="s">
        <v>86</v>
      </c>
      <c r="M19" t="s">
        <v>76</v>
      </c>
      <c r="N19" t="s">
        <v>77</v>
      </c>
      <c r="O19">
        <v>176863.2</v>
      </c>
      <c r="P19">
        <v>0</v>
      </c>
      <c r="Q19">
        <v>0</v>
      </c>
      <c r="R19">
        <v>0</v>
      </c>
      <c r="S19">
        <v>0</v>
      </c>
      <c r="T19">
        <v>0</v>
      </c>
      <c r="U19">
        <v>3.5</v>
      </c>
      <c r="V19">
        <v>3.5</v>
      </c>
      <c r="W19">
        <v>7.5</v>
      </c>
      <c r="X19">
        <v>0</v>
      </c>
      <c r="Y19">
        <v>3.5</v>
      </c>
      <c r="Z19">
        <v>32228.556716240499</v>
      </c>
      <c r="AA19">
        <v>32387.625785640899</v>
      </c>
      <c r="AB19">
        <v>60436.692645312498</v>
      </c>
      <c r="AC19">
        <v>43269.327414891501</v>
      </c>
      <c r="AD19">
        <v>34574.1676245048</v>
      </c>
      <c r="AE19">
        <v>25678.7418580841</v>
      </c>
      <c r="AF19">
        <v>127239.416986057</v>
      </c>
      <c r="AG19">
        <v>101335.69505861599</v>
      </c>
      <c r="AH19">
        <v>1</v>
      </c>
      <c r="AI19">
        <v>3</v>
      </c>
      <c r="AJ19">
        <v>3</v>
      </c>
      <c r="AK19">
        <v>4</v>
      </c>
      <c r="AL19">
        <v>144.30000000000001</v>
      </c>
      <c r="AM19">
        <v>0</v>
      </c>
      <c r="AN19" t="s">
        <v>78</v>
      </c>
      <c r="AO19" t="b">
        <v>0</v>
      </c>
      <c r="AP19" t="s">
        <v>78</v>
      </c>
      <c r="AQ19">
        <v>0</v>
      </c>
      <c r="AR19">
        <v>10</v>
      </c>
      <c r="AS19">
        <v>4.4159841852583996</v>
      </c>
      <c r="AT19">
        <v>1</v>
      </c>
      <c r="AU19">
        <v>4.8478731358021596</v>
      </c>
      <c r="AV19">
        <v>6.0909949624411697</v>
      </c>
      <c r="AW19">
        <v>5.1891090309379999</v>
      </c>
      <c r="AX19">
        <v>18</v>
      </c>
      <c r="AY19">
        <v>8</v>
      </c>
      <c r="AZ19">
        <v>18</v>
      </c>
      <c r="BA19">
        <v>7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7</v>
      </c>
      <c r="BJ19">
        <v>18</v>
      </c>
      <c r="BK19">
        <v>5.1891090309379999</v>
      </c>
      <c r="BL19">
        <v>18</v>
      </c>
      <c r="BM19">
        <v>8</v>
      </c>
      <c r="BN19">
        <v>5.24763747847493</v>
      </c>
      <c r="BO19">
        <v>106516.43944410401</v>
      </c>
      <c r="BP19" t="s">
        <v>192</v>
      </c>
      <c r="BQ19" t="str">
        <f>SUBSTITUTE(SUBSTITUTE(SUBSTITUTE(SUBSTITUTE(SUBSTITUTE(SUBSTITUTE(SUBSTITUTE(I19,"[",""),"]",""),"'",""),"M1-LOD-KS","לוד-כפרסבא (מטרו)"),"M1-KS-LOD","כפר סבא-לוד (מטרו)"),"M1-RA-RE","רעננה-רחובות (מטרו)"),"M1-RE-RA","רחובות-רעננה (מטרו)")</f>
        <v>אדום כיוון 1 (רק"ל), אדום כיוון 2 (רק"ל), ירוק מקווקוו 1 כיוון 2 (רק"ל), ירוק מקווקוו 1 כיוון 1 (רק"ל), ירושלים-מודיעין (רכבת פרברית), חריש-ירושלים (רכבת פרברית), נתניה-ירושלים (רכבת פרברית), כחול כיוון 2 (רק"ל), ירושלים-חריש (רכבת פרברית), תכלת כיוון 1 (רק"ל), ירושלים-נתניה (רכבת פרברית), ירושלים-חיפה (רכבת מהירה), תכלת כיוון 2 (רק"ל), ירושלים-באר שבע (רכבת בינעירונית), חיפה-ירושלים (רכבת מהירה), כחול כיוון 1 (רק"ל), באר שבע-ירושלים (רכבת בינעירונית), מודיעין-ירושלים (רכבת פרברית)</v>
      </c>
      <c r="BR19">
        <f>IF($AP19="ארצי",COUNTIFS($AP$2:$AP$143,"ארצי",$BK$2:$BK$143,"&gt;"&amp;$BK19)+1,COUNTIFS($AP$2:$AP$143,$AP19,$L$2:$L$143,$L19,$BK$2:$BK$143,"&gt;"&amp;$BK19)+1)</f>
        <v>8</v>
      </c>
    </row>
    <row r="20" spans="1:70" x14ac:dyDescent="0.25">
      <c r="A20">
        <v>644</v>
      </c>
      <c r="B20">
        <v>34.776610602135896</v>
      </c>
      <c r="C20">
        <v>32.037641789187603</v>
      </c>
      <c r="D20" t="s">
        <v>193</v>
      </c>
      <c r="E20" t="s">
        <v>194</v>
      </c>
      <c r="F20" t="s">
        <v>195</v>
      </c>
      <c r="G20" t="s">
        <v>196</v>
      </c>
      <c r="H20" t="s">
        <v>197</v>
      </c>
      <c r="I20" t="s">
        <v>198</v>
      </c>
      <c r="J20" t="s">
        <v>74</v>
      </c>
      <c r="K20" t="s">
        <v>75</v>
      </c>
      <c r="L20" t="s">
        <v>75</v>
      </c>
      <c r="M20" t="s">
        <v>139</v>
      </c>
      <c r="N20" t="s">
        <v>132</v>
      </c>
      <c r="O20">
        <v>111174.24</v>
      </c>
      <c r="P20">
        <v>105713.82</v>
      </c>
      <c r="Q20">
        <v>0.95088412567515601</v>
      </c>
      <c r="R20">
        <v>0</v>
      </c>
      <c r="S20">
        <v>0</v>
      </c>
      <c r="T20">
        <v>0</v>
      </c>
      <c r="U20">
        <v>0</v>
      </c>
      <c r="V20">
        <v>0</v>
      </c>
      <c r="W20">
        <v>6</v>
      </c>
      <c r="X20">
        <v>4</v>
      </c>
      <c r="Y20">
        <v>4</v>
      </c>
      <c r="Z20">
        <v>3129.4373869030601</v>
      </c>
      <c r="AA20">
        <v>5789.5166193249997</v>
      </c>
      <c r="AB20">
        <v>13884.487260444601</v>
      </c>
      <c r="AC20">
        <v>10425.5430663799</v>
      </c>
      <c r="AD20">
        <v>13831.231484461299</v>
      </c>
      <c r="AE20">
        <v>8064.9714230813497</v>
      </c>
      <c r="AF20">
        <v>30845.156131808999</v>
      </c>
      <c r="AG20">
        <v>24280.031108786301</v>
      </c>
      <c r="AH20">
        <v>0</v>
      </c>
      <c r="AI20">
        <v>2</v>
      </c>
      <c r="AJ20">
        <v>0</v>
      </c>
      <c r="AK20">
        <v>3</v>
      </c>
      <c r="AL20">
        <v>93.6</v>
      </c>
      <c r="AM20">
        <v>3</v>
      </c>
      <c r="AN20" t="s">
        <v>103</v>
      </c>
      <c r="AO20" t="b">
        <v>0</v>
      </c>
      <c r="AP20" t="s">
        <v>103</v>
      </c>
      <c r="AQ20">
        <v>3</v>
      </c>
      <c r="AR20">
        <v>1</v>
      </c>
      <c r="AS20">
        <v>3.1273651510872602</v>
      </c>
      <c r="AT20">
        <v>10</v>
      </c>
      <c r="AU20">
        <v>7.78061168780079</v>
      </c>
      <c r="AV20">
        <v>2.1982330706401498</v>
      </c>
      <c r="AW20">
        <v>5.1308450457442198</v>
      </c>
      <c r="AX20">
        <v>19</v>
      </c>
      <c r="AY20">
        <v>4</v>
      </c>
      <c r="AZ20">
        <v>14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6</v>
      </c>
      <c r="BH20">
        <v>0</v>
      </c>
      <c r="BI20">
        <v>6</v>
      </c>
      <c r="BJ20">
        <v>14</v>
      </c>
      <c r="BK20">
        <v>5.1308450457442198</v>
      </c>
      <c r="BL20">
        <v>19</v>
      </c>
      <c r="BM20">
        <v>4</v>
      </c>
      <c r="BN20">
        <v>5.0460041692436599</v>
      </c>
      <c r="BO20">
        <v>25593.056113390801</v>
      </c>
      <c r="BP20" t="s">
        <v>199</v>
      </c>
      <c r="BQ20" t="str">
        <f>SUBSTITUTE(SUBSTITUTE(SUBSTITUTE(SUBSTITUTE(SUBSTITUTE(SUBSTITUTE(SUBSTITUTE(I20,"[",""),"]",""),"'",""),"M1-LOD-KS","לוד-כפרסבא (מטרו)"),"M1-KS-LOD","כפר סבא-לוד (מטרו)"),"M1-RA-RE","רעננה-רחובות (מטרו)"),"M1-RE-RA","רחובות-רעננה (מטרו)")</f>
        <v>חולון-הרצליה (רק"ל), הרצליה-חולון (רק"ל), ראשל"צ-עתידים (רק"ל), עתידים-ראשל"צ (רק"ל), חולון-אונ\ ת"א (רק"ל), אונ\ ת"א-חולון (רק"ל), רעננה-רחובות (מטרו), רחובות-רעננה (מטרו), כפר סבא-לוד (מטרו), לוד-כפרסבא (מטרו), מודיעין-באר שבע (רכבת פרברית), זיכרון יעקב-שוקת (רכבת פרברית), באר שבע-מודיעין (רכבת פרברית), שוקת-זיכרון יעקב (רכבת פרברית)</v>
      </c>
      <c r="BR20">
        <f>IF($AP20="ארצי",COUNTIFS($AP$2:$AP$143,"ארצי",$BK$2:$BK$143,"&gt;"&amp;$BK20)+1,COUNTIFS($AP$2:$AP$143,$AP20,$L$2:$L$143,$L20,$BK$2:$BK$143,"&gt;"&amp;$BK20)+1)</f>
        <v>1</v>
      </c>
    </row>
    <row r="21" spans="1:70" x14ac:dyDescent="0.25">
      <c r="A21">
        <v>577</v>
      </c>
      <c r="B21">
        <v>34.7845861504073</v>
      </c>
      <c r="C21">
        <v>32.067139534476603</v>
      </c>
      <c r="D21" t="s">
        <v>200</v>
      </c>
      <c r="E21" t="s">
        <v>201</v>
      </c>
      <c r="F21" t="s">
        <v>202</v>
      </c>
      <c r="G21" t="s">
        <v>203</v>
      </c>
      <c r="H21" t="s">
        <v>204</v>
      </c>
      <c r="I21" t="s">
        <v>205</v>
      </c>
      <c r="J21" t="s">
        <v>74</v>
      </c>
      <c r="K21" t="s">
        <v>75</v>
      </c>
      <c r="L21" t="s">
        <v>75</v>
      </c>
      <c r="M21" t="s">
        <v>76</v>
      </c>
      <c r="N21" t="s">
        <v>77</v>
      </c>
      <c r="O21">
        <v>218051.81</v>
      </c>
      <c r="P21">
        <v>127027.56</v>
      </c>
      <c r="Q21">
        <v>0.58255677859312405</v>
      </c>
      <c r="R21">
        <v>0</v>
      </c>
      <c r="S21">
        <v>0</v>
      </c>
      <c r="T21">
        <v>0</v>
      </c>
      <c r="U21">
        <v>0</v>
      </c>
      <c r="V21">
        <v>0</v>
      </c>
      <c r="W21">
        <v>12</v>
      </c>
      <c r="X21">
        <v>2</v>
      </c>
      <c r="Y21">
        <v>0</v>
      </c>
      <c r="Z21">
        <v>16887.640121640099</v>
      </c>
      <c r="AA21">
        <v>62646.680725901097</v>
      </c>
      <c r="AB21">
        <v>30024.177725996498</v>
      </c>
      <c r="AC21">
        <v>94719.024503046196</v>
      </c>
      <c r="AD21">
        <v>22837.323659831101</v>
      </c>
      <c r="AE21">
        <v>59918.869390937398</v>
      </c>
      <c r="AF21">
        <v>69749.141507467706</v>
      </c>
      <c r="AG21">
        <v>217284.57461988399</v>
      </c>
      <c r="AH21">
        <v>0</v>
      </c>
      <c r="AI21">
        <v>3</v>
      </c>
      <c r="AJ21">
        <v>0</v>
      </c>
      <c r="AK21">
        <v>2</v>
      </c>
      <c r="AL21">
        <v>79.2</v>
      </c>
      <c r="AM21">
        <v>0</v>
      </c>
      <c r="AN21" t="s">
        <v>103</v>
      </c>
      <c r="AO21" t="b">
        <v>0</v>
      </c>
      <c r="AP21" t="s">
        <v>103</v>
      </c>
      <c r="AQ21">
        <v>0</v>
      </c>
      <c r="AR21">
        <v>1</v>
      </c>
      <c r="AS21">
        <v>2.76136684552386</v>
      </c>
      <c r="AT21">
        <v>1</v>
      </c>
      <c r="AU21">
        <v>9.2657097408440308</v>
      </c>
      <c r="AV21">
        <v>10</v>
      </c>
      <c r="AW21">
        <v>5.10123273719024</v>
      </c>
      <c r="AX21">
        <v>20</v>
      </c>
      <c r="AY21">
        <v>5</v>
      </c>
      <c r="AZ21">
        <v>14</v>
      </c>
      <c r="BA21">
        <v>6</v>
      </c>
      <c r="BB21">
        <v>2</v>
      </c>
      <c r="BC21">
        <v>0</v>
      </c>
      <c r="BD21">
        <v>0</v>
      </c>
      <c r="BE21">
        <v>0</v>
      </c>
      <c r="BF21">
        <v>0</v>
      </c>
      <c r="BG21">
        <v>6</v>
      </c>
      <c r="BH21">
        <v>0</v>
      </c>
      <c r="BI21">
        <v>14</v>
      </c>
      <c r="BJ21">
        <v>14</v>
      </c>
      <c r="BK21">
        <v>5.10123273719024</v>
      </c>
      <c r="BL21">
        <v>20</v>
      </c>
      <c r="BM21">
        <v>5</v>
      </c>
      <c r="BN21">
        <v>5.3385596960071497</v>
      </c>
      <c r="BO21">
        <v>187777.48799740101</v>
      </c>
      <c r="BP21" t="s">
        <v>206</v>
      </c>
      <c r="BQ21" t="str">
        <f>SUBSTITUTE(SUBSTITUTE(SUBSTITUTE(SUBSTITUTE(SUBSTITUTE(SUBSTITUTE(SUBSTITUTE(I21,"[",""),"]",""),"'",""),"M1-LOD-KS","לוד-כפרסבא (מטרו)"),"M1-KS-LOD","כפר סבא-לוד (מטרו)"),"M1-RA-RE","רעננה-רחובות (מטרו)"),"M1-RE-RA","רחובות-רעננה (מטרו)")</f>
        <v>חולון-הרצליה (רק"ל), הרצליה-חולון (רק"ל), ראשל"צ-עתידים (רק"ל), עתידים-ראשל"צ (רק"ל), חולון-אונ\ ת"א (רק"ל), אונ\ ת"א-חולון (רק"ל), וולפסון-סגולה (מטרו), סגולה-וולפסון (מטרו), פ"ת (קרית אריה)-ראשל"צ (רק"ל), ראשל"צ-פ"ת (רק"ל), ראשל"צ-פ"ת (קרית אריה) (רק"ל), פ"ת-ת"א (רק"ל), פ"ת-ראשל"צ (רק"ל), ת"א-פ"ת (רק"ל)</v>
      </c>
      <c r="BR21">
        <f>IF($AP21="ארצי",COUNTIFS($AP$2:$AP$143,"ארצי",$BK$2:$BK$143,"&gt;"&amp;$BK21)+1,COUNTIFS($AP$2:$AP$143,$AP21,$L$2:$L$143,$L21,$BK$2:$BK$143,"&gt;"&amp;$BK21)+1)</f>
        <v>2</v>
      </c>
    </row>
    <row r="22" spans="1:70" x14ac:dyDescent="0.25">
      <c r="A22">
        <v>27</v>
      </c>
      <c r="B22">
        <v>34.870964563862003</v>
      </c>
      <c r="C22">
        <v>32.312015333680897</v>
      </c>
      <c r="D22" t="s">
        <v>207</v>
      </c>
      <c r="E22" t="s">
        <v>208</v>
      </c>
      <c r="F22" t="s">
        <v>127</v>
      </c>
      <c r="G22" t="s">
        <v>128</v>
      </c>
      <c r="H22" t="s">
        <v>144</v>
      </c>
      <c r="I22" t="s">
        <v>145</v>
      </c>
      <c r="J22" t="s">
        <v>74</v>
      </c>
      <c r="K22" t="s">
        <v>75</v>
      </c>
      <c r="L22" t="s">
        <v>75</v>
      </c>
      <c r="M22" t="s">
        <v>131</v>
      </c>
      <c r="N22" t="s">
        <v>132</v>
      </c>
      <c r="O22">
        <v>11034.85</v>
      </c>
      <c r="P22">
        <v>9791.1499999999905</v>
      </c>
      <c r="Q22">
        <v>0.887293438515249</v>
      </c>
      <c r="R22">
        <v>2</v>
      </c>
      <c r="S22">
        <v>0</v>
      </c>
      <c r="T22">
        <v>0</v>
      </c>
      <c r="U22">
        <v>0</v>
      </c>
      <c r="V22">
        <v>0</v>
      </c>
      <c r="W22">
        <v>2</v>
      </c>
      <c r="X22">
        <v>0</v>
      </c>
      <c r="Y22">
        <v>0</v>
      </c>
      <c r="Z22">
        <v>4948.6049286014704</v>
      </c>
      <c r="AA22">
        <v>7002.8753149118102</v>
      </c>
      <c r="AB22">
        <v>16939.692691254098</v>
      </c>
      <c r="AC22">
        <v>10516.0178831839</v>
      </c>
      <c r="AD22">
        <v>12758.148880733401</v>
      </c>
      <c r="AE22">
        <v>6626.4623937014403</v>
      </c>
      <c r="AF22">
        <v>34646.446500589002</v>
      </c>
      <c r="AG22">
        <v>24145.355591797201</v>
      </c>
      <c r="AH22">
        <v>0</v>
      </c>
      <c r="AI22">
        <v>2</v>
      </c>
      <c r="AJ22">
        <v>0</v>
      </c>
      <c r="AK22">
        <v>2</v>
      </c>
      <c r="AL22">
        <v>19.8</v>
      </c>
      <c r="AM22">
        <v>0</v>
      </c>
      <c r="AN22" t="s">
        <v>133</v>
      </c>
      <c r="AO22" t="b">
        <v>0</v>
      </c>
      <c r="AP22" t="s">
        <v>133</v>
      </c>
      <c r="AQ22">
        <v>0</v>
      </c>
      <c r="AR22">
        <v>1</v>
      </c>
      <c r="AS22">
        <v>1.2516238350748301</v>
      </c>
      <c r="AT22">
        <v>1</v>
      </c>
      <c r="AU22">
        <v>6.7821911391977601</v>
      </c>
      <c r="AV22">
        <v>2.2296219693325798</v>
      </c>
      <c r="AW22">
        <v>5.0840693455059398</v>
      </c>
      <c r="AX22">
        <v>21</v>
      </c>
      <c r="AY22">
        <v>5</v>
      </c>
      <c r="AZ22">
        <v>4</v>
      </c>
      <c r="BA22">
        <v>0</v>
      </c>
      <c r="BB22">
        <v>0</v>
      </c>
      <c r="BC22">
        <v>2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2</v>
      </c>
      <c r="BJ22">
        <v>4</v>
      </c>
      <c r="BK22">
        <v>5.0840693455059398</v>
      </c>
      <c r="BL22">
        <v>21</v>
      </c>
      <c r="BM22">
        <v>5</v>
      </c>
      <c r="BN22">
        <v>4.04276643404366</v>
      </c>
      <c r="BO22">
        <v>26245.573773555599</v>
      </c>
      <c r="BP22" t="s">
        <v>209</v>
      </c>
      <c r="BQ22" t="str">
        <f>SUBSTITUTE(SUBSTITUTE(SUBSTITUTE(SUBSTITUTE(SUBSTITUTE(SUBSTITUTE(SUBSTITUTE(I22,"[",""),"]",""),"'",""),"M1-LOD-KS","לוד-כפרסבא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22">
        <f>IF($AP22="ארצי",COUNTIFS($AP$2:$AP$143,"ארצי",$BK$2:$BK$143,"&gt;"&amp;$BK22)+1,COUNTIFS($AP$2:$AP$143,$AP22,$L$2:$L$143,$L22,$BK$2:$BK$143,"&gt;"&amp;$BK22)+1)</f>
        <v>5</v>
      </c>
    </row>
    <row r="23" spans="1:70" x14ac:dyDescent="0.25">
      <c r="A23">
        <v>342</v>
      </c>
      <c r="B23">
        <v>34.786311410034003</v>
      </c>
      <c r="C23">
        <v>31.966411712909299</v>
      </c>
      <c r="D23" t="s">
        <v>210</v>
      </c>
      <c r="E23" t="s">
        <v>211</v>
      </c>
      <c r="F23" t="s">
        <v>212</v>
      </c>
      <c r="G23" t="s">
        <v>213</v>
      </c>
      <c r="H23" t="s">
        <v>214</v>
      </c>
      <c r="I23" t="s">
        <v>215</v>
      </c>
      <c r="J23" t="s">
        <v>74</v>
      </c>
      <c r="K23" t="s">
        <v>75</v>
      </c>
      <c r="L23" t="s">
        <v>75</v>
      </c>
      <c r="M23" t="s">
        <v>216</v>
      </c>
      <c r="N23" t="s">
        <v>132</v>
      </c>
      <c r="O23">
        <v>27338.186099999999</v>
      </c>
      <c r="P23">
        <v>22307.576099999998</v>
      </c>
      <c r="Q23">
        <v>0.81598596258001099</v>
      </c>
      <c r="R23">
        <v>4</v>
      </c>
      <c r="S23">
        <v>0</v>
      </c>
      <c r="T23">
        <v>0</v>
      </c>
      <c r="U23">
        <v>0</v>
      </c>
      <c r="V23">
        <v>0</v>
      </c>
      <c r="W23">
        <v>5</v>
      </c>
      <c r="X23">
        <v>0</v>
      </c>
      <c r="Y23">
        <v>0</v>
      </c>
      <c r="Z23">
        <v>14722.1214113236</v>
      </c>
      <c r="AA23">
        <v>3257.0224700664298</v>
      </c>
      <c r="AB23">
        <v>22284.793566650798</v>
      </c>
      <c r="AC23">
        <v>4969.20442545899</v>
      </c>
      <c r="AD23">
        <v>14055.863590532599</v>
      </c>
      <c r="AE23">
        <v>3074.9655079942299</v>
      </c>
      <c r="AF23">
        <v>51062.778568507099</v>
      </c>
      <c r="AG23">
        <v>11301.192403519601</v>
      </c>
      <c r="AH23">
        <v>0</v>
      </c>
      <c r="AI23">
        <v>2</v>
      </c>
      <c r="AJ23">
        <v>0</v>
      </c>
      <c r="AK23">
        <v>2</v>
      </c>
      <c r="AL23">
        <v>45.1</v>
      </c>
      <c r="AM23">
        <v>3</v>
      </c>
      <c r="AN23" t="s">
        <v>140</v>
      </c>
      <c r="AO23" t="b">
        <v>0</v>
      </c>
      <c r="AP23" t="s">
        <v>140</v>
      </c>
      <c r="AQ23">
        <v>3</v>
      </c>
      <c r="AR23">
        <v>1</v>
      </c>
      <c r="AS23">
        <v>1.89466252471053</v>
      </c>
      <c r="AT23">
        <v>10</v>
      </c>
      <c r="AU23">
        <v>7.5691841589034201</v>
      </c>
      <c r="AV23">
        <v>3.04089540982114</v>
      </c>
      <c r="AW23">
        <v>5.0426497703556796</v>
      </c>
      <c r="AX23">
        <v>22</v>
      </c>
      <c r="AY23">
        <v>4</v>
      </c>
      <c r="AZ23">
        <v>9</v>
      </c>
      <c r="BA23">
        <v>0</v>
      </c>
      <c r="BB23">
        <v>2</v>
      </c>
      <c r="BC23">
        <v>0</v>
      </c>
      <c r="BD23">
        <v>0</v>
      </c>
      <c r="BE23">
        <v>0</v>
      </c>
      <c r="BF23">
        <v>6</v>
      </c>
      <c r="BG23">
        <v>0</v>
      </c>
      <c r="BH23">
        <v>0</v>
      </c>
      <c r="BI23">
        <v>8</v>
      </c>
      <c r="BJ23">
        <v>9</v>
      </c>
      <c r="BK23">
        <v>5.0426497703556796</v>
      </c>
      <c r="BL23">
        <v>22</v>
      </c>
      <c r="BM23">
        <v>4</v>
      </c>
      <c r="BN23">
        <v>4.4367696955684996</v>
      </c>
      <c r="BO23">
        <v>43110.461335509601</v>
      </c>
      <c r="BP23" t="s">
        <v>217</v>
      </c>
      <c r="BQ23" t="str">
        <f>SUBSTITUTE(SUBSTITUTE(SUBSTITUTE(SUBSTITUTE(SUBSTITUTE(SUBSTITUTE(SUBSTITUTE(I23,"[",""),"]",""),"'",""),"M1-LOD-KS","לוד-כפרסבא (מטרו)"),"M1-KS-LOD","כפר סבא-לוד (מטרו)"),"M1-RA-RE","רעננה-רחובות (מטרו)"),"M1-RE-RA","רחובות-רעננה (מטרו)")</f>
        <v>נתניה-אשדוד (רק"ל), אשדוד-נתניה (רק"ל), לוד-תחנה מרכזית ראשל"צ (BRT), אסף הרופא-חוף ראשל"צ (רק"ל), אסף הרופא-מתחם ה-1000 (רק"ל), תחנה מרכזית ראשל"צ-לוד (BRT), מתחם ה-1000-אסף הרופא (רק"ל), חוף ראשל"צ-אסף הרופא (רק"ל)</v>
      </c>
      <c r="BR23">
        <f>IF($AP23="ארצי",COUNTIFS($AP$2:$AP$143,"ארצי",$BK$2:$BK$143,"&gt;"&amp;$BK23)+1,COUNTIFS($AP$2:$AP$143,$AP23,$L$2:$L$143,$L23,$BK$2:$BK$143,"&gt;"&amp;$BK23)+1)</f>
        <v>1</v>
      </c>
    </row>
    <row r="24" spans="1:70" x14ac:dyDescent="0.25">
      <c r="A24">
        <v>535</v>
      </c>
      <c r="B24">
        <v>35.082513337744999</v>
      </c>
      <c r="C24">
        <v>32.928429857184597</v>
      </c>
      <c r="D24" t="s">
        <v>218</v>
      </c>
      <c r="E24" t="s">
        <v>219</v>
      </c>
      <c r="F24" t="s">
        <v>220</v>
      </c>
      <c r="G24" t="s">
        <v>221</v>
      </c>
      <c r="H24" t="s">
        <v>222</v>
      </c>
      <c r="I24" t="s">
        <v>223</v>
      </c>
      <c r="J24" t="s">
        <v>74</v>
      </c>
      <c r="K24" t="s">
        <v>94</v>
      </c>
      <c r="L24" t="s">
        <v>94</v>
      </c>
      <c r="M24" t="s">
        <v>131</v>
      </c>
      <c r="N24" t="s">
        <v>132</v>
      </c>
      <c r="O24">
        <v>16909.018988</v>
      </c>
      <c r="P24">
        <v>15065.1423489999</v>
      </c>
      <c r="Q24">
        <v>0.89095306828216503</v>
      </c>
      <c r="R24">
        <v>0</v>
      </c>
      <c r="S24">
        <v>0</v>
      </c>
      <c r="T24">
        <v>0</v>
      </c>
      <c r="U24">
        <v>3</v>
      </c>
      <c r="V24">
        <v>3</v>
      </c>
      <c r="W24">
        <v>0</v>
      </c>
      <c r="X24">
        <v>0</v>
      </c>
      <c r="Y24">
        <v>0</v>
      </c>
      <c r="Z24">
        <v>10511.7929667232</v>
      </c>
      <c r="AA24">
        <v>3469.1324397786302</v>
      </c>
      <c r="AB24">
        <v>16861.803156652601</v>
      </c>
      <c r="AC24">
        <v>6270.0332404131404</v>
      </c>
      <c r="AD24">
        <v>9825.2933975531396</v>
      </c>
      <c r="AE24">
        <v>3945.8175975600502</v>
      </c>
      <c r="AF24">
        <v>37198.889520928999</v>
      </c>
      <c r="AG24">
        <v>13684.9832777518</v>
      </c>
      <c r="AH24">
        <v>1</v>
      </c>
      <c r="AI24">
        <v>2</v>
      </c>
      <c r="AJ24">
        <v>2</v>
      </c>
      <c r="AK24">
        <v>2</v>
      </c>
      <c r="AL24">
        <v>49.5</v>
      </c>
      <c r="AM24">
        <v>3</v>
      </c>
      <c r="AN24" t="s">
        <v>103</v>
      </c>
      <c r="AO24" t="b">
        <v>0</v>
      </c>
      <c r="AP24" t="s">
        <v>103</v>
      </c>
      <c r="AQ24">
        <v>3</v>
      </c>
      <c r="AR24">
        <v>7</v>
      </c>
      <c r="AS24">
        <v>2.0064953402993502</v>
      </c>
      <c r="AT24">
        <v>10</v>
      </c>
      <c r="AU24">
        <v>3.6287825995368999</v>
      </c>
      <c r="AV24">
        <v>1.85162763529181</v>
      </c>
      <c r="AW24">
        <v>5.0176758173403702</v>
      </c>
      <c r="AX24">
        <v>23</v>
      </c>
      <c r="AY24">
        <v>6</v>
      </c>
      <c r="AZ24">
        <v>6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6</v>
      </c>
      <c r="BK24">
        <v>5.0176758173403702</v>
      </c>
      <c r="BL24">
        <v>23</v>
      </c>
      <c r="BM24">
        <v>6</v>
      </c>
      <c r="BN24">
        <v>4.2281184118285404</v>
      </c>
      <c r="BO24">
        <v>18387.7645263872</v>
      </c>
      <c r="BP24" t="s">
        <v>224</v>
      </c>
      <c r="BQ24" t="str">
        <f>SUBSTITUTE(SUBSTITUTE(SUBSTITUTE(SUBSTITUTE(SUBSTITUTE(SUBSTITUTE(SUBSTITUTE(I24,"[",""),"]",""),"'",""),"M1-LOD-KS","לוד-כפרסבא (מטרו)"),"M1-KS-LOD","כפר סבא-לוד (מטרו)"),"M1-RA-RE","רעננה-רחובות (מטרו)"),"M1-RE-RA","רחובות-רעננה (מטרו)")</f>
        <v>באר שבע-עכו (רכבת בינעירונית), עכו-באר שבע (רכבת בינעירונית), נהריה-באר שבע (רכבת בינעירונית), נהריה-אילת (רכבת מהירה), אילת-נהריה (רכבת מהירה), באר שבע-נהריה (רכבת בינעירונית)</v>
      </c>
      <c r="BR24">
        <f>IF($AP24="ארצי",COUNTIFS($AP$2:$AP$143,"ארצי",$BK$2:$BK$143,"&gt;"&amp;$BK24)+1,COUNTIFS($AP$2:$AP$143,$AP24,$L$2:$L$143,$L24,$BK$2:$BK$143,"&gt;"&amp;$BK24)+1)</f>
        <v>2</v>
      </c>
    </row>
    <row r="25" spans="1:70" x14ac:dyDescent="0.25">
      <c r="A25">
        <v>616</v>
      </c>
      <c r="B25">
        <v>34.805619867365699</v>
      </c>
      <c r="C25">
        <v>32.1038407567519</v>
      </c>
      <c r="D25" t="s">
        <v>225</v>
      </c>
      <c r="E25" t="s">
        <v>226</v>
      </c>
      <c r="F25" t="s">
        <v>98</v>
      </c>
      <c r="G25" t="s">
        <v>99</v>
      </c>
      <c r="H25" t="s">
        <v>227</v>
      </c>
      <c r="I25" t="s">
        <v>228</v>
      </c>
      <c r="J25" t="s">
        <v>74</v>
      </c>
      <c r="K25" t="s">
        <v>75</v>
      </c>
      <c r="L25" t="s">
        <v>75</v>
      </c>
      <c r="M25" t="s">
        <v>76</v>
      </c>
      <c r="N25" t="s">
        <v>77</v>
      </c>
      <c r="O25">
        <v>29466.400000000001</v>
      </c>
      <c r="P25">
        <v>27354.240000000002</v>
      </c>
      <c r="Q25">
        <v>0.92831971330057195</v>
      </c>
      <c r="R25">
        <v>0</v>
      </c>
      <c r="S25">
        <v>0</v>
      </c>
      <c r="T25">
        <v>0</v>
      </c>
      <c r="U25">
        <v>0</v>
      </c>
      <c r="V25">
        <v>11</v>
      </c>
      <c r="W25">
        <v>4</v>
      </c>
      <c r="X25">
        <v>0</v>
      </c>
      <c r="Y25">
        <v>11</v>
      </c>
      <c r="Z25">
        <v>871.87591082851702</v>
      </c>
      <c r="AA25">
        <v>5489.4220773340303</v>
      </c>
      <c r="AB25">
        <v>9910.3437690917199</v>
      </c>
      <c r="AC25">
        <v>15222.1769761209</v>
      </c>
      <c r="AD25">
        <v>10803.809494385399</v>
      </c>
      <c r="AE25">
        <v>11139.837403387301</v>
      </c>
      <c r="AF25">
        <v>21586.0291743056</v>
      </c>
      <c r="AG25">
        <v>31851.436456842301</v>
      </c>
      <c r="AH25">
        <v>0</v>
      </c>
      <c r="AI25">
        <v>3</v>
      </c>
      <c r="AJ25">
        <v>0</v>
      </c>
      <c r="AK25">
        <v>3</v>
      </c>
      <c r="AL25">
        <v>195.6</v>
      </c>
      <c r="AM25">
        <v>2</v>
      </c>
      <c r="AN25" t="s">
        <v>103</v>
      </c>
      <c r="AO25" t="b">
        <v>0</v>
      </c>
      <c r="AP25" t="s">
        <v>103</v>
      </c>
      <c r="AQ25">
        <v>2</v>
      </c>
      <c r="AR25">
        <v>1</v>
      </c>
      <c r="AS25">
        <v>5.71985314882801</v>
      </c>
      <c r="AT25">
        <v>7</v>
      </c>
      <c r="AU25">
        <v>4.8532288694625496</v>
      </c>
      <c r="AV25">
        <v>2.4005259874331601</v>
      </c>
      <c r="AW25">
        <v>4.9756981552478203</v>
      </c>
      <c r="AX25">
        <v>24</v>
      </c>
      <c r="AY25">
        <v>7</v>
      </c>
      <c r="AZ25">
        <v>26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4</v>
      </c>
      <c r="BH25">
        <v>0</v>
      </c>
      <c r="BI25">
        <v>4</v>
      </c>
      <c r="BJ25">
        <v>26</v>
      </c>
      <c r="BK25">
        <v>4.9756981552478203</v>
      </c>
      <c r="BL25">
        <v>24</v>
      </c>
      <c r="BM25">
        <v>7</v>
      </c>
      <c r="BN25">
        <v>4.4693270800088198</v>
      </c>
      <c r="BO25">
        <v>29798.355000334999</v>
      </c>
      <c r="BP25" t="s">
        <v>229</v>
      </c>
      <c r="BQ25" t="str">
        <f>SUBSTITUTE(SUBSTITUTE(SUBSTITUTE(SUBSTITUTE(SUBSTITUTE(SUBSTITUTE(SUBSTITUTE(I25,"[",""),"]",""),"'",""),"M1-LOD-KS","לוד-כפרסבא (מטרו)"),"M1-KS-LOD","כפר סבא-לוד (מטרו)"),"M1-RA-RE","רעננה-רחובות (מטרו)"),"M1-RE-RA","רחובות-רעננה (מטרו)")</f>
        <v>חולון-אונ\ ת"א (רק"ל), עתידים-ראשל"צ (רק"ל), ראשל"צ-עתידים (רק"ל), אונ\ ת"א-חולון (רק"ל), באר שבע-עכו (רכבת בינעירונית), עכו-באר שבע (רכבת בינעירונית), בית שמש-הרצליה (רכבת פרברית), הרצליה-בית שאן (רכבת פרברית), באר שבע-מודיעין (רכבת פרברית), מודיעין-קרית שמונה (רכבת בינעירונית), קרית שמונה-מודיעין (רכבת בינעירונית), שוקת-זיכרון יעקב (רכבת פרברית), באר שבע-נהריה (רכבת בינעירונית), הרצליה-בית שמש (רכבת פרברית), נתניה-ירושלים (רכבת פרברית), בית שאן-הרצליה (רכבת פרברית), ראש העין-באר שבע (רכבת פרברית), ירושלים-נתניה (רכבת פרברית), כרמיאל-אשקלון (רכבת בינעירונית), אשקלון-כרמיאל (רכבת בינעירונית), זיכרון יעקב-שוקת (רכבת פרברית), מודיעין-באר שבע (רכבת פרברית), זיכרון יעקב-אשקלון (רכבת פרברית), באר שבע-ראש העין (רכבת פרברית), נהריה-באר שבע (רכבת בינעירונית), אשקלון-זיכרון יעקב (רכבת פרברית)</v>
      </c>
      <c r="BR25">
        <f>IF($AP25="ארצי",COUNTIFS($AP$2:$AP$143,"ארצי",$BK$2:$BK$143,"&gt;"&amp;$BK25)+1,COUNTIFS($AP$2:$AP$143,$AP25,$L$2:$L$143,$L25,$BK$2:$BK$143,"&gt;"&amp;$BK25)+1)</f>
        <v>3</v>
      </c>
    </row>
    <row r="26" spans="1:70" x14ac:dyDescent="0.25">
      <c r="A26">
        <v>589</v>
      </c>
      <c r="B26">
        <v>34.823162557180801</v>
      </c>
      <c r="C26">
        <v>32.091083822096699</v>
      </c>
      <c r="D26" t="s">
        <v>230</v>
      </c>
      <c r="E26" t="s">
        <v>231</v>
      </c>
      <c r="F26" t="s">
        <v>232</v>
      </c>
      <c r="G26" t="s">
        <v>233</v>
      </c>
      <c r="H26" t="s">
        <v>234</v>
      </c>
      <c r="I26" t="s">
        <v>235</v>
      </c>
      <c r="J26" t="s">
        <v>74</v>
      </c>
      <c r="K26" t="s">
        <v>75</v>
      </c>
      <c r="L26" t="s">
        <v>75</v>
      </c>
      <c r="M26" t="s">
        <v>139</v>
      </c>
      <c r="N26" t="s">
        <v>132</v>
      </c>
      <c r="O26">
        <v>85633.97</v>
      </c>
      <c r="P26">
        <v>41959.87</v>
      </c>
      <c r="Q26">
        <v>0.48999094634991203</v>
      </c>
      <c r="R26">
        <v>2</v>
      </c>
      <c r="S26">
        <v>0</v>
      </c>
      <c r="T26">
        <v>0</v>
      </c>
      <c r="U26">
        <v>0</v>
      </c>
      <c r="V26">
        <v>0</v>
      </c>
      <c r="W26">
        <v>6</v>
      </c>
      <c r="X26">
        <v>0</v>
      </c>
      <c r="Y26">
        <v>0</v>
      </c>
      <c r="Z26">
        <v>37072.789104705298</v>
      </c>
      <c r="AA26">
        <v>13721.3896462659</v>
      </c>
      <c r="AB26">
        <v>51478.017042310501</v>
      </c>
      <c r="AC26">
        <v>21241.707645051902</v>
      </c>
      <c r="AD26">
        <v>31802.2376182646</v>
      </c>
      <c r="AE26">
        <v>13211.3446897788</v>
      </c>
      <c r="AF26">
        <v>120353.04376528</v>
      </c>
      <c r="AG26">
        <v>48174.441981096701</v>
      </c>
      <c r="AH26">
        <v>0</v>
      </c>
      <c r="AI26">
        <v>2</v>
      </c>
      <c r="AJ26">
        <v>0</v>
      </c>
      <c r="AK26">
        <v>2</v>
      </c>
      <c r="AL26">
        <v>41.8</v>
      </c>
      <c r="AM26">
        <v>0</v>
      </c>
      <c r="AN26" t="s">
        <v>140</v>
      </c>
      <c r="AO26" t="b">
        <v>0</v>
      </c>
      <c r="AP26" t="s">
        <v>140</v>
      </c>
      <c r="AQ26">
        <v>0</v>
      </c>
      <c r="AR26">
        <v>1</v>
      </c>
      <c r="AS26">
        <v>1.8107879130189199</v>
      </c>
      <c r="AT26">
        <v>1</v>
      </c>
      <c r="AU26">
        <v>10</v>
      </c>
      <c r="AV26">
        <v>6.0621749109752301</v>
      </c>
      <c r="AW26">
        <v>4.8320359634607204</v>
      </c>
      <c r="AX26">
        <v>25</v>
      </c>
      <c r="AY26">
        <v>5</v>
      </c>
      <c r="AZ26">
        <v>8</v>
      </c>
      <c r="BA26">
        <v>6</v>
      </c>
      <c r="BB26">
        <v>0</v>
      </c>
      <c r="BC26">
        <v>2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8</v>
      </c>
      <c r="BJ26">
        <v>8</v>
      </c>
      <c r="BK26">
        <v>4.8320359634607204</v>
      </c>
      <c r="BL26">
        <v>25</v>
      </c>
      <c r="BM26">
        <v>5</v>
      </c>
      <c r="BN26">
        <v>4.9326460784270898</v>
      </c>
      <c r="BO26">
        <v>105917.323408443</v>
      </c>
      <c r="BP26" t="s">
        <v>236</v>
      </c>
      <c r="BQ26" t="str">
        <f>SUBSTITUTE(SUBSTITUTE(SUBSTITUTE(SUBSTITUTE(SUBSTITUTE(SUBSTITUTE(SUBSTITUTE(I26,"[",""),"]",""),"'",""),"M1-LOD-KS","לוד-כפרסבא (מטרו)"),"M1-KS-LOD","כפר סבא-לוד (מטרו)"),"M1-RA-RE","רעננה-רחובות (מטרו)"),"M1-RE-RA","רחובות-רעננה (מטרו)")</f>
        <v>פ"ת (קרית אריה)-ראשל"צ (רק"ל), ראשל"צ-פ"ת (רק"ל), ראשל"צ-פ"ת (קרית אריה) (רק"ל), פ"ת-ת"א (רק"ל), פ"ת-ראשל"צ (רק"ל), ת"א-פ"ת (רק"ל), רצועת הנופש-צומת חולון (BRT), צומת חולון-רצועת הנופש (BRT)</v>
      </c>
      <c r="BR26">
        <f>IF($AP26="ארצי",COUNTIFS($AP$2:$AP$143,"ארצי",$BK$2:$BK$143,"&gt;"&amp;$BK26)+1,COUNTIFS($AP$2:$AP$143,$AP26,$L$2:$L$143,$L26,$BK$2:$BK$143,"&gt;"&amp;$BK26)+1)</f>
        <v>2</v>
      </c>
    </row>
    <row r="27" spans="1:70" x14ac:dyDescent="0.25">
      <c r="A27">
        <v>145</v>
      </c>
      <c r="B27">
        <v>34.858564441211598</v>
      </c>
      <c r="C27">
        <v>32.273765018123498</v>
      </c>
      <c r="D27" t="s">
        <v>237</v>
      </c>
      <c r="E27" t="s">
        <v>238</v>
      </c>
      <c r="F27" t="s">
        <v>127</v>
      </c>
      <c r="G27" t="s">
        <v>128</v>
      </c>
      <c r="H27" t="s">
        <v>144</v>
      </c>
      <c r="I27" t="s">
        <v>145</v>
      </c>
      <c r="J27" t="s">
        <v>74</v>
      </c>
      <c r="K27" t="s">
        <v>75</v>
      </c>
      <c r="L27" t="s">
        <v>75</v>
      </c>
      <c r="M27" t="s">
        <v>131</v>
      </c>
      <c r="N27" t="s">
        <v>132</v>
      </c>
      <c r="O27">
        <v>2249.7102052999999</v>
      </c>
      <c r="P27">
        <v>239.4702053</v>
      </c>
      <c r="Q27">
        <v>0.10644491220951099</v>
      </c>
      <c r="R27">
        <v>3</v>
      </c>
      <c r="S27">
        <v>0</v>
      </c>
      <c r="T27">
        <v>0</v>
      </c>
      <c r="U27">
        <v>0</v>
      </c>
      <c r="V27">
        <v>0</v>
      </c>
      <c r="W27">
        <v>3</v>
      </c>
      <c r="X27">
        <v>0</v>
      </c>
      <c r="Y27">
        <v>0</v>
      </c>
      <c r="Z27">
        <v>2386.69962748229</v>
      </c>
      <c r="AA27">
        <v>11617.385195028</v>
      </c>
      <c r="AB27">
        <v>7008.7929600478401</v>
      </c>
      <c r="AC27">
        <v>9403.4730753020503</v>
      </c>
      <c r="AD27">
        <v>4878.2856526277101</v>
      </c>
      <c r="AE27">
        <v>5168.2956988574597</v>
      </c>
      <c r="AF27">
        <v>14273.778240157801</v>
      </c>
      <c r="AG27">
        <v>26189.1539691875</v>
      </c>
      <c r="AH27">
        <v>0</v>
      </c>
      <c r="AI27">
        <v>2</v>
      </c>
      <c r="AJ27">
        <v>0</v>
      </c>
      <c r="AK27">
        <v>2</v>
      </c>
      <c r="AL27">
        <v>29.7</v>
      </c>
      <c r="AM27">
        <v>0</v>
      </c>
      <c r="AN27" t="s">
        <v>133</v>
      </c>
      <c r="AO27" t="b">
        <v>0</v>
      </c>
      <c r="AP27" t="s">
        <v>133</v>
      </c>
      <c r="AQ27">
        <v>0</v>
      </c>
      <c r="AR27">
        <v>1</v>
      </c>
      <c r="AS27">
        <v>1.50324767014967</v>
      </c>
      <c r="AT27">
        <v>1</v>
      </c>
      <c r="AU27">
        <v>2.5554553572619301</v>
      </c>
      <c r="AV27">
        <v>2.1122717970286198</v>
      </c>
      <c r="AW27">
        <v>4.7067157259261698</v>
      </c>
      <c r="AX27">
        <v>26</v>
      </c>
      <c r="AY27">
        <v>6</v>
      </c>
      <c r="AZ27">
        <v>6</v>
      </c>
      <c r="BA27">
        <v>0</v>
      </c>
      <c r="BB27">
        <v>0</v>
      </c>
      <c r="BC27">
        <v>2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2</v>
      </c>
      <c r="BJ27">
        <v>6</v>
      </c>
      <c r="BK27">
        <v>4.7067157259261698</v>
      </c>
      <c r="BL27">
        <v>26</v>
      </c>
      <c r="BM27">
        <v>6</v>
      </c>
      <c r="BN27">
        <v>3.3521265784025598</v>
      </c>
      <c r="BO27">
        <v>23806.078823381598</v>
      </c>
      <c r="BP27" t="s">
        <v>239</v>
      </c>
      <c r="BQ27" t="str">
        <f>SUBSTITUTE(SUBSTITUTE(SUBSTITUTE(SUBSTITUTE(SUBSTITUTE(SUBSTITUTE(SUBSTITUTE(I27,"[",""),"]",""),"'",""),"M1-LOD-KS","לוד-כפרסבא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27">
        <f>IF($AP27="ארצי",COUNTIFS($AP$2:$AP$143,"ארצי",$BK$2:$BK$143,"&gt;"&amp;$BK27)+1,COUNTIFS($AP$2:$AP$143,$AP27,$L$2:$L$143,$L27,$BK$2:$BK$143,"&gt;"&amp;$BK27)+1)</f>
        <v>6</v>
      </c>
    </row>
    <row r="28" spans="1:70" x14ac:dyDescent="0.25">
      <c r="A28">
        <v>487</v>
      </c>
      <c r="B28">
        <v>35.0564582611701</v>
      </c>
      <c r="C28">
        <v>32.805161051148502</v>
      </c>
      <c r="D28" t="s">
        <v>240</v>
      </c>
      <c r="E28" t="s">
        <v>241</v>
      </c>
      <c r="F28" t="s">
        <v>127</v>
      </c>
      <c r="G28" t="s">
        <v>128</v>
      </c>
      <c r="H28" t="s">
        <v>242</v>
      </c>
      <c r="I28" t="s">
        <v>243</v>
      </c>
      <c r="J28" t="s">
        <v>74</v>
      </c>
      <c r="K28" t="s">
        <v>94</v>
      </c>
      <c r="L28" t="s">
        <v>94</v>
      </c>
      <c r="M28" t="s">
        <v>76</v>
      </c>
      <c r="N28" t="s">
        <v>77</v>
      </c>
      <c r="O28">
        <v>24476.539001000001</v>
      </c>
      <c r="P28">
        <v>11935.186643499999</v>
      </c>
      <c r="Q28">
        <v>0.48761741367978401</v>
      </c>
      <c r="R28">
        <v>8</v>
      </c>
      <c r="S28">
        <v>0</v>
      </c>
      <c r="T28">
        <v>0</v>
      </c>
      <c r="U28">
        <v>0</v>
      </c>
      <c r="V28">
        <v>0</v>
      </c>
      <c r="W28">
        <v>8</v>
      </c>
      <c r="X28">
        <v>0</v>
      </c>
      <c r="Y28">
        <v>0</v>
      </c>
      <c r="Z28">
        <v>0</v>
      </c>
      <c r="AA28">
        <v>4697.67443573732</v>
      </c>
      <c r="AB28">
        <v>6.5465937189918701</v>
      </c>
      <c r="AC28">
        <v>8763.8188970412102</v>
      </c>
      <c r="AD28">
        <v>79.560261856122906</v>
      </c>
      <c r="AE28">
        <v>5556.9664327074297</v>
      </c>
      <c r="AF28">
        <v>86.106855575114807</v>
      </c>
      <c r="AG28">
        <v>19018.459765485899</v>
      </c>
      <c r="AH28">
        <v>1</v>
      </c>
      <c r="AI28">
        <v>3</v>
      </c>
      <c r="AJ28">
        <v>3</v>
      </c>
      <c r="AK28">
        <v>2</v>
      </c>
      <c r="AL28">
        <v>79.2</v>
      </c>
      <c r="AM28">
        <v>0</v>
      </c>
      <c r="AN28" t="s">
        <v>140</v>
      </c>
      <c r="AO28" t="b">
        <v>0</v>
      </c>
      <c r="AP28" t="s">
        <v>140</v>
      </c>
      <c r="AQ28">
        <v>0</v>
      </c>
      <c r="AR28">
        <v>10</v>
      </c>
      <c r="AS28">
        <v>2.76136684552386</v>
      </c>
      <c r="AT28">
        <v>1</v>
      </c>
      <c r="AU28">
        <v>7.3337887648699001</v>
      </c>
      <c r="AV28">
        <v>1.15338486755136</v>
      </c>
      <c r="AW28">
        <v>4.6963790645161501</v>
      </c>
      <c r="AX28">
        <v>27</v>
      </c>
      <c r="AY28">
        <v>6</v>
      </c>
      <c r="AZ28">
        <v>16</v>
      </c>
      <c r="BA28">
        <v>2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4</v>
      </c>
      <c r="BH28">
        <v>0</v>
      </c>
      <c r="BI28">
        <v>6</v>
      </c>
      <c r="BJ28">
        <v>16</v>
      </c>
      <c r="BK28">
        <v>4.6963790645161501</v>
      </c>
      <c r="BL28">
        <v>27</v>
      </c>
      <c r="BM28">
        <v>6</v>
      </c>
      <c r="BN28">
        <v>4.3887500082843101</v>
      </c>
      <c r="BO28">
        <v>3872.5774375572801</v>
      </c>
      <c r="BP28" t="s">
        <v>244</v>
      </c>
      <c r="BQ28" t="str">
        <f>SUBSTITUTE(SUBSTITUTE(SUBSTITUTE(SUBSTITUTE(SUBSTITUTE(SUBSTITUTE(SUBSTITUTE(I28,"[",""),"]",""),"'",""),"M1-LOD-KS","לוד-כפרסבא (מטרו)"),"M1-KS-LOD","כפר סבא-לוד (מטרו)"),"M1-RA-RE","רעננה-רחובות (מטרו)"),"M1-RE-RA","רחובות-רעננה (מטרו)")</f>
        <v>מרכזית חוף הכרמל-מרכזית הקריות (דרך המנהרות) (BRT), בת גלים - מרכזית הקריות (BRT), מרכזית הקריות-הדר (דרך קרית ים) (BRT), מרכזית הקריות-חוף הכרמל (דרך 22) (רק"ל), נצרת-חוף הכרמל (רק"ל), מרכזית הקריות - בת גלים (BRT), נצרת-מרכזית המפרץ (רק"ל), מרכזית הקריות-מרכזית חוף הכרמל (דרך המנהרות) (BRT), הדר-מרכזית הקריות (דרך קרית ים) (BRT), מרכזית המפרץ-עכו (BRT), חוף הכרמל-נצרת (רק"ל), מרכזית המפרץ-נצרת (רק"ל), מרכז הכרמל-גילעם (דרך המנהרות) (BRT), גילעם-מרכז הכרמל (דרך המנהרות) (BRT), חוף הכרמל-מרכזית הקריות (דרך 22) (רק"ל), עכו-מרכזית המפרץ (BRT)</v>
      </c>
      <c r="BR28">
        <f>IF($AP28="ארצי",COUNTIFS($AP$2:$AP$143,"ארצי",$BK$2:$BK$143,"&gt;"&amp;$BK28)+1,COUNTIFS($AP$2:$AP$143,$AP28,$L$2:$L$143,$L28,$BK$2:$BK$143,"&gt;"&amp;$BK28)+1)</f>
        <v>4</v>
      </c>
    </row>
    <row r="29" spans="1:70" x14ac:dyDescent="0.25">
      <c r="A29">
        <v>158</v>
      </c>
      <c r="B29">
        <v>34.861950608978702</v>
      </c>
      <c r="C29">
        <v>32.281342678947702</v>
      </c>
      <c r="D29" t="s">
        <v>245</v>
      </c>
      <c r="E29" t="s">
        <v>246</v>
      </c>
      <c r="F29" t="s">
        <v>127</v>
      </c>
      <c r="G29" t="s">
        <v>128</v>
      </c>
      <c r="H29" t="s">
        <v>144</v>
      </c>
      <c r="I29" t="s">
        <v>145</v>
      </c>
      <c r="J29" t="s">
        <v>74</v>
      </c>
      <c r="K29" t="s">
        <v>75</v>
      </c>
      <c r="L29" t="s">
        <v>75</v>
      </c>
      <c r="M29" t="s">
        <v>131</v>
      </c>
      <c r="N29" t="s">
        <v>132</v>
      </c>
      <c r="O29">
        <v>3465.95</v>
      </c>
      <c r="P29">
        <v>3169.8</v>
      </c>
      <c r="Q29">
        <v>0.91455445116057599</v>
      </c>
      <c r="R29">
        <v>1</v>
      </c>
      <c r="S29">
        <v>0</v>
      </c>
      <c r="T29">
        <v>0</v>
      </c>
      <c r="U29">
        <v>0</v>
      </c>
      <c r="V29">
        <v>0</v>
      </c>
      <c r="W29">
        <v>1</v>
      </c>
      <c r="X29">
        <v>0</v>
      </c>
      <c r="Y29">
        <v>0</v>
      </c>
      <c r="Z29">
        <v>2004.7840233096599</v>
      </c>
      <c r="AA29">
        <v>19177.260182250699</v>
      </c>
      <c r="AB29">
        <v>10748.5536623157</v>
      </c>
      <c r="AC29">
        <v>16511.627404536099</v>
      </c>
      <c r="AD29">
        <v>7239.47381198728</v>
      </c>
      <c r="AE29">
        <v>4317.7958678628202</v>
      </c>
      <c r="AF29">
        <v>19992.811497612602</v>
      </c>
      <c r="AG29">
        <v>40006.683454649698</v>
      </c>
      <c r="AH29">
        <v>0</v>
      </c>
      <c r="AI29">
        <v>2</v>
      </c>
      <c r="AJ29">
        <v>0</v>
      </c>
      <c r="AK29">
        <v>2</v>
      </c>
      <c r="AL29">
        <v>9.9</v>
      </c>
      <c r="AM29">
        <v>2</v>
      </c>
      <c r="AN29" t="s">
        <v>133</v>
      </c>
      <c r="AO29" t="b">
        <v>0</v>
      </c>
      <c r="AP29" t="s">
        <v>133</v>
      </c>
      <c r="AQ29">
        <v>2</v>
      </c>
      <c r="AR29">
        <v>1</v>
      </c>
      <c r="AS29">
        <v>1</v>
      </c>
      <c r="AT29">
        <v>7</v>
      </c>
      <c r="AU29">
        <v>3.7041585310591501</v>
      </c>
      <c r="AV29">
        <v>2.69903975909387</v>
      </c>
      <c r="AW29">
        <v>4.6392265087701396</v>
      </c>
      <c r="AX29">
        <v>28</v>
      </c>
      <c r="AY29">
        <v>7</v>
      </c>
      <c r="AZ29">
        <v>2</v>
      </c>
      <c r="BA29">
        <v>0</v>
      </c>
      <c r="BB29">
        <v>0</v>
      </c>
      <c r="BC29">
        <v>2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2</v>
      </c>
      <c r="BJ29">
        <v>2</v>
      </c>
      <c r="BK29">
        <v>4.6392265087701396</v>
      </c>
      <c r="BL29">
        <v>28</v>
      </c>
      <c r="BM29">
        <v>7</v>
      </c>
      <c r="BN29">
        <v>3.5398222932651602</v>
      </c>
      <c r="BO29">
        <v>36003.909063242303</v>
      </c>
      <c r="BP29" t="s">
        <v>247</v>
      </c>
      <c r="BQ29" t="str">
        <f>SUBSTITUTE(SUBSTITUTE(SUBSTITUTE(SUBSTITUTE(SUBSTITUTE(SUBSTITUTE(SUBSTITUTE(I29,"[",""),"]",""),"'",""),"M1-LOD-KS","לוד-כפרסבא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29">
        <f>IF($AP29="ארצי",COUNTIFS($AP$2:$AP$143,"ארצי",$BK$2:$BK$143,"&gt;"&amp;$BK29)+1,COUNTIFS($AP$2:$AP$143,$AP29,$L$2:$L$143,$L29,$BK$2:$BK$143,"&gt;"&amp;$BK29)+1)</f>
        <v>7</v>
      </c>
    </row>
    <row r="30" spans="1:70" x14ac:dyDescent="0.25">
      <c r="A30">
        <v>548</v>
      </c>
      <c r="B30">
        <v>35.132325027120899</v>
      </c>
      <c r="C30">
        <v>32.823316130537101</v>
      </c>
      <c r="D30" t="s">
        <v>248</v>
      </c>
      <c r="E30" t="s">
        <v>249</v>
      </c>
      <c r="F30" t="s">
        <v>232</v>
      </c>
      <c r="G30" t="s">
        <v>233</v>
      </c>
      <c r="H30" t="s">
        <v>250</v>
      </c>
      <c r="I30" t="s">
        <v>251</v>
      </c>
      <c r="J30" t="s">
        <v>74</v>
      </c>
      <c r="K30" t="s">
        <v>94</v>
      </c>
      <c r="L30" t="s">
        <v>94</v>
      </c>
      <c r="M30" t="s">
        <v>139</v>
      </c>
      <c r="N30" t="s">
        <v>132</v>
      </c>
      <c r="O30">
        <v>9587.6103093999991</v>
      </c>
      <c r="P30">
        <v>8835.8004127999993</v>
      </c>
      <c r="Q30">
        <v>0.92158526761742598</v>
      </c>
      <c r="R30">
        <v>3</v>
      </c>
      <c r="S30">
        <v>0</v>
      </c>
      <c r="T30">
        <v>0</v>
      </c>
      <c r="U30">
        <v>0</v>
      </c>
      <c r="V30">
        <v>0</v>
      </c>
      <c r="W30">
        <v>6</v>
      </c>
      <c r="X30">
        <v>0</v>
      </c>
      <c r="Y30">
        <v>0</v>
      </c>
      <c r="Z30">
        <v>2353.7714964151501</v>
      </c>
      <c r="AA30">
        <v>2139.3423286946099</v>
      </c>
      <c r="AB30">
        <v>4281.8436778478499</v>
      </c>
      <c r="AC30">
        <v>2690.92461399268</v>
      </c>
      <c r="AD30">
        <v>3289.5660389497898</v>
      </c>
      <c r="AE30">
        <v>1390.4988028877001</v>
      </c>
      <c r="AF30">
        <v>9925.1812132127998</v>
      </c>
      <c r="AG30">
        <v>6220.7657455750104</v>
      </c>
      <c r="AH30">
        <v>1</v>
      </c>
      <c r="AI30">
        <v>2</v>
      </c>
      <c r="AJ30">
        <v>2</v>
      </c>
      <c r="AK30">
        <v>2</v>
      </c>
      <c r="AL30">
        <v>46.2</v>
      </c>
      <c r="AM30">
        <v>2</v>
      </c>
      <c r="AN30" t="s">
        <v>140</v>
      </c>
      <c r="AO30" t="b">
        <v>0</v>
      </c>
      <c r="AP30" t="s">
        <v>140</v>
      </c>
      <c r="AQ30">
        <v>2</v>
      </c>
      <c r="AR30">
        <v>7</v>
      </c>
      <c r="AS30">
        <v>1.9226207286077299</v>
      </c>
      <c r="AT30">
        <v>7</v>
      </c>
      <c r="AU30">
        <v>5.33845600483121</v>
      </c>
      <c r="AV30">
        <v>1.40890141913665</v>
      </c>
      <c r="AW30">
        <v>4.6345459245423104</v>
      </c>
      <c r="AX30">
        <v>29</v>
      </c>
      <c r="AY30">
        <v>7</v>
      </c>
      <c r="AZ30">
        <v>9</v>
      </c>
      <c r="BA30">
        <v>3</v>
      </c>
      <c r="BB30">
        <v>0</v>
      </c>
      <c r="BC30">
        <v>2</v>
      </c>
      <c r="BD30">
        <v>0</v>
      </c>
      <c r="BE30">
        <v>0</v>
      </c>
      <c r="BF30">
        <v>0</v>
      </c>
      <c r="BG30">
        <v>4</v>
      </c>
      <c r="BH30">
        <v>0</v>
      </c>
      <c r="BI30">
        <v>9</v>
      </c>
      <c r="BJ30">
        <v>9</v>
      </c>
      <c r="BK30">
        <v>4.6345459245423104</v>
      </c>
      <c r="BL30">
        <v>29</v>
      </c>
      <c r="BM30">
        <v>7</v>
      </c>
      <c r="BN30">
        <v>3.9817103737224202</v>
      </c>
      <c r="BO30">
        <v>9184.2981196852397</v>
      </c>
      <c r="BP30" t="s">
        <v>252</v>
      </c>
      <c r="BQ30" t="str">
        <f>SUBSTITUTE(SUBSTITUTE(SUBSTITUTE(SUBSTITUTE(SUBSTITUTE(SUBSTITUTE(SUBSTITUTE(I30,"[",""),"]",""),"'",""),"M1-LOD-KS","לוד-כפרסבא (מטרו)"),"M1-KS-LOD","כפר סבא-לוד (מטרו)"),"M1-RA-RE","רעננה-רחובות (מטרו)"),"M1-RE-RA","רחובות-רעננה (מטרו)")</f>
        <v>מרכזית הקריות-גילעם (דרך בן גוריון) (BRT), גילעם-דיר חנא (BRT), גילעם-מרכזית הקריות (דרך בן גוריון) (BRT), אחיהוד-נצרת (רק"ל), נצרת-חוף הכרמל (רק"ל), נצרת-מרכזית המפרץ (רק"ל), נצרת-אחיהוד (רק"ל), מרכזית המפרץ-נצרת (רק"ל), חוף הכרמל-נצרת (רק"ל)</v>
      </c>
      <c r="BR30">
        <f>IF($AP30="ארצי",COUNTIFS($AP$2:$AP$143,"ארצי",$BK$2:$BK$143,"&gt;"&amp;$BK30)+1,COUNTIFS($AP$2:$AP$143,$AP30,$L$2:$L$143,$L30,$BK$2:$BK$143,"&gt;"&amp;$BK30)+1)</f>
        <v>5</v>
      </c>
    </row>
    <row r="31" spans="1:70" x14ac:dyDescent="0.25">
      <c r="A31">
        <v>524</v>
      </c>
      <c r="B31">
        <v>35.070227267221497</v>
      </c>
      <c r="C31">
        <v>32.833677658594503</v>
      </c>
      <c r="D31" t="s">
        <v>253</v>
      </c>
      <c r="E31" t="s">
        <v>254</v>
      </c>
      <c r="F31" t="s">
        <v>220</v>
      </c>
      <c r="G31" t="s">
        <v>221</v>
      </c>
      <c r="H31" t="s">
        <v>255</v>
      </c>
      <c r="I31" t="s">
        <v>256</v>
      </c>
      <c r="J31" t="s">
        <v>74</v>
      </c>
      <c r="K31" t="s">
        <v>94</v>
      </c>
      <c r="L31" t="s">
        <v>94</v>
      </c>
      <c r="M31" t="s">
        <v>76</v>
      </c>
      <c r="N31" t="s">
        <v>77</v>
      </c>
      <c r="O31">
        <v>35273.327559999998</v>
      </c>
      <c r="P31">
        <v>31407.873802999999</v>
      </c>
      <c r="Q31">
        <v>0.89041425846697098</v>
      </c>
      <c r="R31">
        <v>0</v>
      </c>
      <c r="S31">
        <v>0</v>
      </c>
      <c r="T31">
        <v>0</v>
      </c>
      <c r="U31">
        <v>5</v>
      </c>
      <c r="V31">
        <v>5</v>
      </c>
      <c r="W31">
        <v>0</v>
      </c>
      <c r="X31">
        <v>0</v>
      </c>
      <c r="Y31">
        <v>0</v>
      </c>
      <c r="Z31">
        <v>16692.628482698001</v>
      </c>
      <c r="AA31">
        <v>6441.9461473950196</v>
      </c>
      <c r="AB31">
        <v>31157.998410198299</v>
      </c>
      <c r="AC31">
        <v>9763.0607808194109</v>
      </c>
      <c r="AD31">
        <v>21012.8353869891</v>
      </c>
      <c r="AE31">
        <v>5960.8757212363498</v>
      </c>
      <c r="AF31">
        <v>68863.462279885396</v>
      </c>
      <c r="AG31">
        <v>22165.882649450701</v>
      </c>
      <c r="AH31">
        <v>1</v>
      </c>
      <c r="AI31">
        <v>3</v>
      </c>
      <c r="AJ31">
        <v>3</v>
      </c>
      <c r="AK31">
        <v>2</v>
      </c>
      <c r="AL31">
        <v>82.5</v>
      </c>
      <c r="AM31">
        <v>0</v>
      </c>
      <c r="AN31" t="s">
        <v>103</v>
      </c>
      <c r="AO31" t="b">
        <v>0</v>
      </c>
      <c r="AP31" t="s">
        <v>103</v>
      </c>
      <c r="AQ31">
        <v>0</v>
      </c>
      <c r="AR31">
        <v>10</v>
      </c>
      <c r="AS31">
        <v>2.8452414572154701</v>
      </c>
      <c r="AT31">
        <v>1</v>
      </c>
      <c r="AU31">
        <v>5.2497857143458901</v>
      </c>
      <c r="AV31">
        <v>2.4826421064544801</v>
      </c>
      <c r="AW31">
        <v>4.6018999911012397</v>
      </c>
      <c r="AX31">
        <v>30</v>
      </c>
      <c r="AY31">
        <v>8</v>
      </c>
      <c r="AZ31">
        <v>10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10</v>
      </c>
      <c r="BK31">
        <v>4.6018999911012397</v>
      </c>
      <c r="BL31">
        <v>30</v>
      </c>
      <c r="BM31">
        <v>8</v>
      </c>
      <c r="BN31">
        <v>4.5474464313935803</v>
      </c>
      <c r="BO31">
        <v>31505.3985755377</v>
      </c>
      <c r="BP31" t="s">
        <v>257</v>
      </c>
      <c r="BQ31" t="str">
        <f>SUBSTITUTE(SUBSTITUTE(SUBSTITUTE(SUBSTITUTE(SUBSTITUTE(SUBSTITUTE(SUBSTITUTE(I31,"[",""),"]",""),"'",""),"M1-LOD-KS","לוד-כפרסבא (מטרו)"),"M1-KS-LOD","כפר סבא-לוד (מטרו)"),"M1-RA-RE","רעננה-רחובות (מטרו)"),"M1-RE-RA","רחובות-רעננה (מטרו)")</f>
        <v>באר שבע-עכו (רכבת בינעירונית), עכו-באר שבע (רכבת בינעירונית), אשקלון-כרמיאל (רכבת בינעירונית), נהריה-באר שבע (רכבת בינעירונית), נהריה-אילת (רכבת מהירה), מודיעין-קרית שמונה (רכבת בינעירונית), קרית שמונה-מודיעין (רכבת בינעירונית), אילת-נהריה (רכבת מהירה), כרמיאל-אשקלון (רכבת בינעירונית), באר שבע-נהריה (רכבת בינעירונית)</v>
      </c>
      <c r="BR31">
        <f>IF($AP31="ארצי",COUNTIFS($AP$2:$AP$143,"ארצי",$BK$2:$BK$143,"&gt;"&amp;$BK31)+1,COUNTIFS($AP$2:$AP$143,$AP31,$L$2:$L$143,$L31,$BK$2:$BK$143,"&gt;"&amp;$BK31)+1)</f>
        <v>3</v>
      </c>
    </row>
    <row r="32" spans="1:70" x14ac:dyDescent="0.25">
      <c r="A32">
        <v>581</v>
      </c>
      <c r="B32">
        <v>34.784987924048899</v>
      </c>
      <c r="C32">
        <v>32.054157233594601</v>
      </c>
      <c r="D32" t="s">
        <v>258</v>
      </c>
      <c r="E32" t="s">
        <v>259</v>
      </c>
      <c r="F32" t="s">
        <v>260</v>
      </c>
      <c r="G32" t="s">
        <v>261</v>
      </c>
      <c r="H32" t="s">
        <v>262</v>
      </c>
      <c r="I32" t="s">
        <v>263</v>
      </c>
      <c r="J32" t="s">
        <v>74</v>
      </c>
      <c r="K32" t="s">
        <v>75</v>
      </c>
      <c r="L32" t="s">
        <v>75</v>
      </c>
      <c r="M32" t="s">
        <v>76</v>
      </c>
      <c r="N32" t="s">
        <v>77</v>
      </c>
      <c r="O32">
        <v>147331.51</v>
      </c>
      <c r="P32">
        <v>103269.06</v>
      </c>
      <c r="Q32">
        <v>0.70092989612337497</v>
      </c>
      <c r="R32">
        <v>0</v>
      </c>
      <c r="S32">
        <v>0</v>
      </c>
      <c r="T32">
        <v>0</v>
      </c>
      <c r="U32">
        <v>0</v>
      </c>
      <c r="V32">
        <v>11</v>
      </c>
      <c r="W32">
        <v>6</v>
      </c>
      <c r="X32">
        <v>4</v>
      </c>
      <c r="Y32">
        <v>11</v>
      </c>
      <c r="Z32">
        <v>13143.0250817833</v>
      </c>
      <c r="AA32">
        <v>15365.5233745348</v>
      </c>
      <c r="AB32">
        <v>23435.485461899101</v>
      </c>
      <c r="AC32">
        <v>39208.837987319297</v>
      </c>
      <c r="AD32">
        <v>17315.744723907399</v>
      </c>
      <c r="AE32">
        <v>28755.815308830199</v>
      </c>
      <c r="AF32">
        <v>53894.255267589899</v>
      </c>
      <c r="AG32">
        <v>83330.176670684305</v>
      </c>
      <c r="AH32">
        <v>0</v>
      </c>
      <c r="AI32">
        <v>3</v>
      </c>
      <c r="AJ32">
        <v>0</v>
      </c>
      <c r="AK32">
        <v>4</v>
      </c>
      <c r="AL32">
        <v>256.10000000000002</v>
      </c>
      <c r="AM32">
        <v>2</v>
      </c>
      <c r="AN32" t="s">
        <v>78</v>
      </c>
      <c r="AO32" t="b">
        <v>0</v>
      </c>
      <c r="AP32" t="s">
        <v>78</v>
      </c>
      <c r="AQ32">
        <v>2</v>
      </c>
      <c r="AR32">
        <v>1</v>
      </c>
      <c r="AS32">
        <v>7.2575543631742399</v>
      </c>
      <c r="AT32">
        <v>7</v>
      </c>
      <c r="AU32">
        <v>4.2172441486448298</v>
      </c>
      <c r="AV32">
        <v>4.6924374368278796</v>
      </c>
      <c r="AW32">
        <v>4.59149800931851</v>
      </c>
      <c r="AX32">
        <v>31</v>
      </c>
      <c r="AY32">
        <v>9</v>
      </c>
      <c r="AZ32">
        <v>32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6</v>
      </c>
      <c r="BH32">
        <v>0</v>
      </c>
      <c r="BI32">
        <v>6</v>
      </c>
      <c r="BJ32">
        <v>32</v>
      </c>
      <c r="BK32">
        <v>4.59149800931851</v>
      </c>
      <c r="BL32">
        <v>31</v>
      </c>
      <c r="BM32">
        <v>9</v>
      </c>
      <c r="BN32">
        <v>5.1682956399563098</v>
      </c>
      <c r="BO32">
        <v>77442.992390065498</v>
      </c>
      <c r="BP32" t="s">
        <v>264</v>
      </c>
      <c r="BQ32" t="str">
        <f>SUBSTITUTE(SUBSTITUTE(SUBSTITUTE(SUBSTITUTE(SUBSTITUTE(SUBSTITUTE(SUBSTITUTE(I32,"[",""),"]",""),"'",""),"M1-LOD-KS","לוד-כפרסבא (מטרו)"),"M1-KS-LOD","כפר סבא-לוד (מטרו)"),"M1-RA-RE","רעננה-רחובות (מטרו)"),"M1-RE-RA","רחובות-רעננה (מטרו)")</f>
        <v>באר שבע-עכו (רכבת בינעירונית), עכו-באר שבע (רכבת בינעירונית), בית שמש-הרצליה (רכבת פרברית), הרצליה-בית שאן (רכבת פרברית), באר שבע-מודיעין (רכבת פרברית), מודיעין-קרית שמונה (רכבת בינעירונית), קרית שמונה-מודיעין (רכבת בינעירונית), שוקת-זיכרון יעקב (רכבת פרברית), באר שבע-נהריה (רכבת בינעירונית), הרצליה-בית שמש (רכבת פרברית), נתניה-ירושלים (רכבת פרברית), בית שאן-הרצליה (רכבת פרברית), ראש העין-באר שבע (רכבת פרברית), ירושלים-נתניה (רכבת פרברית), כרמיאל-אשקלון (רכבת בינעירונית), אשקלון-כרמיאל (רכבת בינעירונית), זיכרון יעקב-שוקת (רכבת פרברית), מודיעין-באר שבע (רכבת פרברית), זיכרון יעקב-אשקלון (רכבת פרברית), באר שבע-ראש העין (רכבת פרברית), נהריה-באר שבע (רכבת בינעירונית), אשקלון-זיכרון יעקב (רכבת פרברית), רעננה-רחובות (מטרו), רחובות-רעננה (מטרו), כפר סבא-לוד (מטרו), לוד-כפרסבא (מטרו), בר אילן-סבידור (רק"ל), יהוד-סבידור (רק"ל), אלנבי-יהוד (רק"ל), יהוד-אלנבי (רק"ל), סבידור-יהוד (רק"ל), סבידור-בר אילן (רק"ל)</v>
      </c>
      <c r="BR32">
        <f>IF($AP32="ארצי",COUNTIFS($AP$2:$AP$143,"ארצי",$BK$2:$BK$143,"&gt;"&amp;$BK32)+1,COUNTIFS($AP$2:$AP$143,$AP32,$L$2:$L$143,$L32,$BK$2:$BK$143,"&gt;"&amp;$BK32)+1)</f>
        <v>9</v>
      </c>
    </row>
    <row r="33" spans="1:70" x14ac:dyDescent="0.25">
      <c r="A33">
        <v>812</v>
      </c>
      <c r="B33">
        <v>35.098505145167302</v>
      </c>
      <c r="C33">
        <v>33.005430734167803</v>
      </c>
      <c r="D33" t="s">
        <v>265</v>
      </c>
      <c r="E33" t="s">
        <v>266</v>
      </c>
      <c r="F33" t="s">
        <v>220</v>
      </c>
      <c r="G33" t="s">
        <v>221</v>
      </c>
      <c r="H33" t="s">
        <v>267</v>
      </c>
      <c r="I33" t="s">
        <v>268</v>
      </c>
      <c r="J33" t="s">
        <v>74</v>
      </c>
      <c r="K33" t="s">
        <v>94</v>
      </c>
      <c r="L33" t="s">
        <v>94</v>
      </c>
      <c r="M33" t="s">
        <v>131</v>
      </c>
      <c r="N33" t="s">
        <v>132</v>
      </c>
      <c r="O33">
        <v>24623.819497</v>
      </c>
      <c r="P33">
        <v>19980.965510000002</v>
      </c>
      <c r="Q33">
        <v>0.81144866711008601</v>
      </c>
      <c r="R33">
        <v>0</v>
      </c>
      <c r="S33">
        <v>0</v>
      </c>
      <c r="T33">
        <v>0</v>
      </c>
      <c r="U33">
        <v>2</v>
      </c>
      <c r="V33">
        <v>2</v>
      </c>
      <c r="W33">
        <v>0</v>
      </c>
      <c r="X33">
        <v>0</v>
      </c>
      <c r="Y33">
        <v>0</v>
      </c>
      <c r="Z33">
        <v>13007.797031201801</v>
      </c>
      <c r="AA33">
        <v>9200.8729341302897</v>
      </c>
      <c r="AB33">
        <v>21023.423758784102</v>
      </c>
      <c r="AC33">
        <v>8446.9158196053795</v>
      </c>
      <c r="AD33">
        <v>10808.5102295946</v>
      </c>
      <c r="AE33">
        <v>3001.9947433257498</v>
      </c>
      <c r="AF33">
        <v>44839.731019580497</v>
      </c>
      <c r="AG33">
        <v>20649.783497061399</v>
      </c>
      <c r="AH33">
        <v>1</v>
      </c>
      <c r="AI33">
        <v>2</v>
      </c>
      <c r="AJ33">
        <v>2</v>
      </c>
      <c r="AK33">
        <v>2</v>
      </c>
      <c r="AL33">
        <v>33</v>
      </c>
      <c r="AM33">
        <v>2</v>
      </c>
      <c r="AN33" t="s">
        <v>103</v>
      </c>
      <c r="AO33" t="b">
        <v>0</v>
      </c>
      <c r="AP33" t="s">
        <v>103</v>
      </c>
      <c r="AQ33">
        <v>2</v>
      </c>
      <c r="AR33">
        <v>7</v>
      </c>
      <c r="AS33">
        <v>1.58712228184128</v>
      </c>
      <c r="AT33">
        <v>7</v>
      </c>
      <c r="AU33">
        <v>4.4574217441236801</v>
      </c>
      <c r="AV33">
        <v>2.1931685013068298</v>
      </c>
      <c r="AW33">
        <v>4.5556006773934703</v>
      </c>
      <c r="AX33">
        <v>32</v>
      </c>
      <c r="AY33">
        <v>9</v>
      </c>
      <c r="AZ33">
        <v>4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4</v>
      </c>
      <c r="BK33">
        <v>4.5556006773934703</v>
      </c>
      <c r="BL33">
        <v>32</v>
      </c>
      <c r="BM33">
        <v>9</v>
      </c>
      <c r="BN33">
        <v>4.3913554189370299</v>
      </c>
      <c r="BO33">
        <v>25487.773001565201</v>
      </c>
      <c r="BP33" t="s">
        <v>269</v>
      </c>
      <c r="BQ33" t="str">
        <f>SUBSTITUTE(SUBSTITUTE(SUBSTITUTE(SUBSTITUTE(SUBSTITUTE(SUBSTITUTE(SUBSTITUTE(I33,"[",""),"]",""),"'",""),"M1-LOD-KS","לוד-כפרסבא (מטרו)"),"M1-KS-LOD","כפר סבא-לוד (מטרו)"),"M1-RA-RE","רעננה-רחובות (מטרו)"),"M1-RE-RA","רחובות-רעננה (מטרו)")</f>
        <v>נהריה-באר שבע (רכבת בינעירונית), נהריה-אילת (רכבת מהירה), אילת-נהריה (רכבת מהירה), באר שבע-נהריה (רכבת בינעירונית)</v>
      </c>
      <c r="BR33">
        <f>IF($AP33="ארצי",COUNTIFS($AP$2:$AP$143,"ארצי",$BK$2:$BK$143,"&gt;"&amp;$BK33)+1,COUNTIFS($AP$2:$AP$143,$AP33,$L$2:$L$143,$L33,$BK$2:$BK$143,"&gt;"&amp;$BK33)+1)</f>
        <v>4</v>
      </c>
    </row>
    <row r="34" spans="1:70" x14ac:dyDescent="0.25">
      <c r="A34">
        <v>91</v>
      </c>
      <c r="B34">
        <v>34.883134959328302</v>
      </c>
      <c r="C34">
        <v>32.1975896567699</v>
      </c>
      <c r="D34" t="s">
        <v>311</v>
      </c>
      <c r="E34" t="s">
        <v>312</v>
      </c>
      <c r="F34" t="s">
        <v>313</v>
      </c>
      <c r="G34" t="s">
        <v>314</v>
      </c>
      <c r="H34" t="s">
        <v>315</v>
      </c>
      <c r="I34" t="s">
        <v>316</v>
      </c>
      <c r="J34" t="s">
        <v>74</v>
      </c>
      <c r="K34" t="s">
        <v>75</v>
      </c>
      <c r="L34" t="s">
        <v>75</v>
      </c>
      <c r="M34" t="s">
        <v>216</v>
      </c>
      <c r="N34" t="s">
        <v>132</v>
      </c>
      <c r="O34">
        <v>131656.84</v>
      </c>
      <c r="P34">
        <v>105286.3609655</v>
      </c>
      <c r="Q34">
        <v>0.79970293199730402</v>
      </c>
      <c r="R34">
        <v>4</v>
      </c>
      <c r="S34">
        <v>0</v>
      </c>
      <c r="T34">
        <v>0</v>
      </c>
      <c r="U34">
        <v>0</v>
      </c>
      <c r="V34">
        <v>0</v>
      </c>
      <c r="W34">
        <v>0</v>
      </c>
      <c r="X34">
        <v>2</v>
      </c>
      <c r="Y34">
        <v>0</v>
      </c>
      <c r="Z34">
        <v>1913.92429645018</v>
      </c>
      <c r="AA34">
        <v>17548.282586907098</v>
      </c>
      <c r="AB34">
        <v>11043.153332674699</v>
      </c>
      <c r="AC34">
        <v>12861.4620079081</v>
      </c>
      <c r="AD34">
        <v>7798.8830122358604</v>
      </c>
      <c r="AE34">
        <v>3505.5914658704401</v>
      </c>
      <c r="AF34">
        <v>20755.9606413607</v>
      </c>
      <c r="AG34">
        <v>33915.336060685702</v>
      </c>
      <c r="AH34">
        <v>0</v>
      </c>
      <c r="AI34">
        <v>2</v>
      </c>
      <c r="AJ34">
        <v>0</v>
      </c>
      <c r="AK34">
        <v>2</v>
      </c>
      <c r="AL34">
        <v>30.8</v>
      </c>
      <c r="AM34">
        <v>2</v>
      </c>
      <c r="AN34" t="s">
        <v>103</v>
      </c>
      <c r="AO34" t="b">
        <v>0</v>
      </c>
      <c r="AP34" t="s">
        <v>103</v>
      </c>
      <c r="AQ34">
        <v>2</v>
      </c>
      <c r="AR34">
        <v>1</v>
      </c>
      <c r="AS34">
        <v>1.5312058740468699</v>
      </c>
      <c r="AT34">
        <v>7</v>
      </c>
      <c r="AU34">
        <v>8.1534109986541896</v>
      </c>
      <c r="AV34">
        <v>2.4719659558650702</v>
      </c>
      <c r="AW34">
        <v>4.1965954316448597</v>
      </c>
      <c r="AX34">
        <v>40</v>
      </c>
      <c r="AY34">
        <v>14</v>
      </c>
      <c r="AZ34">
        <v>6</v>
      </c>
      <c r="BA34">
        <v>2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2</v>
      </c>
      <c r="BJ34">
        <v>6</v>
      </c>
      <c r="BK34">
        <v>4.1965954316448597</v>
      </c>
      <c r="BL34">
        <v>40</v>
      </c>
      <c r="BM34">
        <v>14</v>
      </c>
      <c r="BN34">
        <v>5.1194434270356197</v>
      </c>
      <c r="BO34">
        <v>31283.460976820701</v>
      </c>
      <c r="BP34" t="s">
        <v>805</v>
      </c>
      <c r="BQ34" t="str">
        <f>SUBSTITUTE(SUBSTITUTE(SUBSTITUTE(SUBSTITUTE(SUBSTITUTE(SUBSTITUTE(SUBSTITUTE(I34,"[",""),"]",""),"'",""),"M1-LOD-KS","לוד-כפרסבא (מטרו)"),"M1-KS-LOD","כפר סבא-לוד (מטרו)"),"M1-RA-RE","רעננה-רחובות (מטרו)"),"M1-RE-RA","רחובות-רעננה (מטרו)")</f>
        <v>כפר סבא-הרצליה (BRT), הרצליה-כפר סבא (BRT), רעננה-רחובות (מטרו), רחובות-רעננה (מטרו)</v>
      </c>
      <c r="BR34">
        <f>IF($AP34="ארצי",COUNTIFS($AP$2:$AP$143,"ארצי",$BK$2:$BK$143,"&gt;"&amp;$BK34)+1,COUNTIFS($AP$2:$AP$143,$AP34,$L$2:$L$143,$L34,$BK$2:$BK$143,"&gt;"&amp;$BK34)+1)</f>
        <v>6</v>
      </c>
    </row>
    <row r="35" spans="1:70" x14ac:dyDescent="0.25">
      <c r="A35">
        <v>546</v>
      </c>
      <c r="B35">
        <v>35.151415112722901</v>
      </c>
      <c r="C35">
        <v>32.823149759297102</v>
      </c>
      <c r="D35" t="s">
        <v>279</v>
      </c>
      <c r="E35" t="s">
        <v>280</v>
      </c>
      <c r="F35" t="s">
        <v>212</v>
      </c>
      <c r="G35" t="s">
        <v>213</v>
      </c>
      <c r="H35" t="s">
        <v>281</v>
      </c>
      <c r="I35" t="s">
        <v>282</v>
      </c>
      <c r="J35" t="s">
        <v>74</v>
      </c>
      <c r="K35" t="s">
        <v>94</v>
      </c>
      <c r="L35" t="s">
        <v>94</v>
      </c>
      <c r="M35" t="s">
        <v>139</v>
      </c>
      <c r="N35" t="s">
        <v>132</v>
      </c>
      <c r="O35">
        <v>4435.6332929699902</v>
      </c>
      <c r="P35">
        <v>4435.6332929699902</v>
      </c>
      <c r="Q35">
        <v>1</v>
      </c>
      <c r="R35">
        <v>6</v>
      </c>
      <c r="S35">
        <v>0</v>
      </c>
      <c r="T35">
        <v>0</v>
      </c>
      <c r="U35">
        <v>0</v>
      </c>
      <c r="V35">
        <v>0</v>
      </c>
      <c r="W35">
        <v>4</v>
      </c>
      <c r="X35">
        <v>0</v>
      </c>
      <c r="Y35">
        <v>0</v>
      </c>
      <c r="Z35">
        <v>3921.5813341621001</v>
      </c>
      <c r="AA35">
        <v>2837.3846652192401</v>
      </c>
      <c r="AB35">
        <v>5694.4956494799699</v>
      </c>
      <c r="AC35">
        <v>3540.2060367112799</v>
      </c>
      <c r="AD35">
        <v>3390.5953219919502</v>
      </c>
      <c r="AE35">
        <v>1967.9592902617901</v>
      </c>
      <c r="AF35">
        <v>13006.672305634</v>
      </c>
      <c r="AG35">
        <v>8345.5499921923201</v>
      </c>
      <c r="AH35">
        <v>1</v>
      </c>
      <c r="AI35">
        <v>2</v>
      </c>
      <c r="AJ35">
        <v>2</v>
      </c>
      <c r="AK35">
        <v>2</v>
      </c>
      <c r="AL35">
        <v>48.4</v>
      </c>
      <c r="AM35">
        <v>2</v>
      </c>
      <c r="AN35" t="s">
        <v>140</v>
      </c>
      <c r="AO35" t="b">
        <v>0</v>
      </c>
      <c r="AP35" t="s">
        <v>140</v>
      </c>
      <c r="AQ35">
        <v>2</v>
      </c>
      <c r="AR35">
        <v>7</v>
      </c>
      <c r="AS35">
        <v>1.97853713640214</v>
      </c>
      <c r="AT35">
        <v>7</v>
      </c>
      <c r="AU35">
        <v>3.6974681477520899</v>
      </c>
      <c r="AV35">
        <v>1.54793001929205</v>
      </c>
      <c r="AW35">
        <v>4.4000571385196396</v>
      </c>
      <c r="AX35">
        <v>34</v>
      </c>
      <c r="AY35">
        <v>8</v>
      </c>
      <c r="AZ35">
        <v>10</v>
      </c>
      <c r="BA35">
        <v>4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4</v>
      </c>
      <c r="BJ35">
        <v>10</v>
      </c>
      <c r="BK35">
        <v>4.4000571385196396</v>
      </c>
      <c r="BL35">
        <v>34</v>
      </c>
      <c r="BM35">
        <v>8</v>
      </c>
      <c r="BN35">
        <v>3.6469556345414502</v>
      </c>
      <c r="BO35">
        <v>12074.447842945599</v>
      </c>
      <c r="BP35" t="s">
        <v>283</v>
      </c>
      <c r="BQ35" t="str">
        <f>SUBSTITUTE(SUBSTITUTE(SUBSTITUTE(SUBSTITUTE(SUBSTITUTE(SUBSTITUTE(SUBSTITUTE(I35,"[",""),"]",""),"'",""),"M1-LOD-KS","לוד-כפרסבא (מטרו)"),"M1-KS-LOD","כפר סבא-לוד (מטרו)"),"M1-RA-RE","רעננה-רחובות (מטרו)"),"M1-RE-RA","רחובות-רעננה (מטרו)")</f>
        <v>דיר חנא-גילעם (BRT), גילעם-דיר חנא (BRT), אחיהוד-נצרת (רק"ל), נצרת-אחיהוד (רק"ל)</v>
      </c>
      <c r="BR35">
        <f>IF($AP35="ארצי",COUNTIFS($AP$2:$AP$143,"ארצי",$BK$2:$BK$143,"&gt;"&amp;$BK35)+1,COUNTIFS($AP$2:$AP$143,$AP35,$L$2:$L$143,$L35,$BK$2:$BK$143,"&gt;"&amp;$BK35)+1)</f>
        <v>6</v>
      </c>
    </row>
    <row r="36" spans="1:70" x14ac:dyDescent="0.25">
      <c r="A36">
        <v>339</v>
      </c>
      <c r="B36">
        <v>34.817333312297201</v>
      </c>
      <c r="C36">
        <v>31.8693563235163</v>
      </c>
      <c r="D36" t="s">
        <v>284</v>
      </c>
      <c r="E36" t="s">
        <v>285</v>
      </c>
      <c r="F36" t="s">
        <v>286</v>
      </c>
      <c r="G36" t="s">
        <v>287</v>
      </c>
      <c r="H36" t="s">
        <v>288</v>
      </c>
      <c r="I36" t="s">
        <v>289</v>
      </c>
      <c r="J36" t="s">
        <v>74</v>
      </c>
      <c r="K36" t="s">
        <v>75</v>
      </c>
      <c r="L36" t="s">
        <v>75</v>
      </c>
      <c r="M36" t="s">
        <v>216</v>
      </c>
      <c r="N36" t="s">
        <v>132</v>
      </c>
      <c r="O36">
        <v>115932.45</v>
      </c>
      <c r="P36">
        <v>91919.9</v>
      </c>
      <c r="Q36">
        <v>0.79287464381197803</v>
      </c>
      <c r="R36">
        <v>1</v>
      </c>
      <c r="S36">
        <v>0</v>
      </c>
      <c r="T36">
        <v>0</v>
      </c>
      <c r="U36">
        <v>0</v>
      </c>
      <c r="V36">
        <v>0</v>
      </c>
      <c r="W36">
        <v>1</v>
      </c>
      <c r="X36">
        <v>1</v>
      </c>
      <c r="Y36">
        <v>0</v>
      </c>
      <c r="Z36">
        <v>7611.2153042537002</v>
      </c>
      <c r="AA36">
        <v>7217.0413321241003</v>
      </c>
      <c r="AB36">
        <v>12201.2596603155</v>
      </c>
      <c r="AC36">
        <v>3248.1211102700199</v>
      </c>
      <c r="AD36">
        <v>9144.4576019665292</v>
      </c>
      <c r="AE36">
        <v>2188.4294224977102</v>
      </c>
      <c r="AF36">
        <v>28956.932566535699</v>
      </c>
      <c r="AG36">
        <v>12653.5918648918</v>
      </c>
      <c r="AH36">
        <v>0</v>
      </c>
      <c r="AI36">
        <v>2</v>
      </c>
      <c r="AJ36">
        <v>0</v>
      </c>
      <c r="AK36">
        <v>3</v>
      </c>
      <c r="AL36">
        <v>18</v>
      </c>
      <c r="AM36">
        <v>3</v>
      </c>
      <c r="AN36" t="s">
        <v>103</v>
      </c>
      <c r="AO36" t="b">
        <v>0</v>
      </c>
      <c r="AP36" t="s">
        <v>103</v>
      </c>
      <c r="AQ36">
        <v>3</v>
      </c>
      <c r="AR36">
        <v>1</v>
      </c>
      <c r="AS36">
        <v>1.20587404687941</v>
      </c>
      <c r="AT36">
        <v>10</v>
      </c>
      <c r="AU36">
        <v>7.8730045380386997</v>
      </c>
      <c r="AV36">
        <v>1.7326414567252999</v>
      </c>
      <c r="AW36">
        <v>4.3975214559570102</v>
      </c>
      <c r="AX36">
        <v>35</v>
      </c>
      <c r="AY36">
        <v>11</v>
      </c>
      <c r="AZ36">
        <v>3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3</v>
      </c>
      <c r="BK36">
        <v>4.3975214559570102</v>
      </c>
      <c r="BL36">
        <v>35</v>
      </c>
      <c r="BM36">
        <v>11</v>
      </c>
      <c r="BN36">
        <v>5.06420501390516</v>
      </c>
      <c r="BO36">
        <v>15914.2600052206</v>
      </c>
      <c r="BP36" t="s">
        <v>290</v>
      </c>
      <c r="BQ36" t="str">
        <f>SUBSTITUTE(SUBSTITUTE(SUBSTITUTE(SUBSTITUTE(SUBSTITUTE(SUBSTITUTE(SUBSTITUTE(I36,"[",""),"]",""),"'",""),"M1-LOD-KS","לוד-כפרסבא (מטרו)"),"M1-KS-LOD","כפר סבא-לוד (מטרו)"),"M1-RA-RE","רעננה-רחובות (מטרו)"),"M1-RE-RA","רחובות-רעננה (מטרו)")</f>
        <v>צומת רעננה-צומת בילו (רק"ל), רחובות-גן יבנה (דרך אשדוד) (BRT), רחובות-רעננה (מטרו)</v>
      </c>
      <c r="BR36">
        <f>IF($AP36="ארצי",COUNTIFS($AP$2:$AP$143,"ארצי",$BK$2:$BK$143,"&gt;"&amp;$BK36)+1,COUNTIFS($AP$2:$AP$143,$AP36,$L$2:$L$143,$L36,$BK$2:$BK$143,"&gt;"&amp;$BK36)+1)</f>
        <v>4</v>
      </c>
    </row>
    <row r="37" spans="1:70" x14ac:dyDescent="0.25">
      <c r="A37">
        <v>95</v>
      </c>
      <c r="B37">
        <v>34.894228069753801</v>
      </c>
      <c r="C37">
        <v>32.178195872055603</v>
      </c>
      <c r="D37" t="s">
        <v>291</v>
      </c>
      <c r="E37" t="s">
        <v>292</v>
      </c>
      <c r="F37" t="s">
        <v>293</v>
      </c>
      <c r="G37" t="s">
        <v>294</v>
      </c>
      <c r="H37" t="s">
        <v>295</v>
      </c>
      <c r="I37" t="s">
        <v>296</v>
      </c>
      <c r="J37" t="s">
        <v>74</v>
      </c>
      <c r="K37" t="s">
        <v>75</v>
      </c>
      <c r="L37" t="s">
        <v>75</v>
      </c>
      <c r="M37" t="s">
        <v>216</v>
      </c>
      <c r="N37" t="s">
        <v>132</v>
      </c>
      <c r="O37">
        <v>137617.76</v>
      </c>
      <c r="P37">
        <v>121477.24</v>
      </c>
      <c r="Q37">
        <v>0.88271484726971206</v>
      </c>
      <c r="R37">
        <v>1.3333333333333299</v>
      </c>
      <c r="S37">
        <v>0</v>
      </c>
      <c r="T37">
        <v>0</v>
      </c>
      <c r="U37">
        <v>0</v>
      </c>
      <c r="V37">
        <v>0</v>
      </c>
      <c r="W37">
        <v>3.3333333333333299</v>
      </c>
      <c r="X37">
        <v>1.3333333333333299</v>
      </c>
      <c r="Y37">
        <v>0</v>
      </c>
      <c r="Z37">
        <v>14821.5529627424</v>
      </c>
      <c r="AA37">
        <v>18945.2937305714</v>
      </c>
      <c r="AB37">
        <v>25732.4893447635</v>
      </c>
      <c r="AC37">
        <v>15586.8181136083</v>
      </c>
      <c r="AD37">
        <v>17293.663209849099</v>
      </c>
      <c r="AE37">
        <v>6561.1535634569</v>
      </c>
      <c r="AF37">
        <v>57847.705517355098</v>
      </c>
      <c r="AG37">
        <v>41093.265407636602</v>
      </c>
      <c r="AH37">
        <v>0</v>
      </c>
      <c r="AI37">
        <v>2</v>
      </c>
      <c r="AJ37">
        <v>0</v>
      </c>
      <c r="AK37">
        <v>3</v>
      </c>
      <c r="AL37">
        <v>35.999999999999901</v>
      </c>
      <c r="AM37">
        <v>2</v>
      </c>
      <c r="AN37" t="s">
        <v>103</v>
      </c>
      <c r="AO37" t="b">
        <v>0</v>
      </c>
      <c r="AP37" t="s">
        <v>103</v>
      </c>
      <c r="AQ37">
        <v>2</v>
      </c>
      <c r="AR37">
        <v>1</v>
      </c>
      <c r="AS37">
        <v>1.6633719288336599</v>
      </c>
      <c r="AT37">
        <v>7</v>
      </c>
      <c r="AU37">
        <v>8.2510335129796104</v>
      </c>
      <c r="AV37">
        <v>3.1050517209577801</v>
      </c>
      <c r="AW37">
        <v>4.39275682217768</v>
      </c>
      <c r="AX37">
        <v>36</v>
      </c>
      <c r="AY37">
        <v>12</v>
      </c>
      <c r="AZ37">
        <v>5.9999999999999902</v>
      </c>
      <c r="BA37">
        <v>0</v>
      </c>
      <c r="BB37">
        <v>0</v>
      </c>
      <c r="BC37">
        <v>2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2</v>
      </c>
      <c r="BJ37">
        <v>6</v>
      </c>
      <c r="BK37">
        <v>4.39275682217768</v>
      </c>
      <c r="BL37">
        <v>36</v>
      </c>
      <c r="BM37">
        <v>12</v>
      </c>
      <c r="BN37">
        <v>5.13867448457012</v>
      </c>
      <c r="BO37">
        <v>44444.153429580299</v>
      </c>
      <c r="BP37" t="s">
        <v>297</v>
      </c>
      <c r="BQ37" t="str">
        <f>SUBSTITUTE(SUBSTITUTE(SUBSTITUTE(SUBSTITUTE(SUBSTITUTE(SUBSTITUTE(SUBSTITUTE(I37,"[",""),"]",""),"'",""),"M1-LOD-KS","לוד-כפרסבא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כפר סבא-לוד (מטרו), לוד-כפרסבא (מטרו), נתניה-כפ"ס דרך טייבה/קלאנסווה (BRT), צומת בילו-צומת רעננה (רק"ל)</v>
      </c>
      <c r="BR37">
        <f>IF($AP37="ארצי",COUNTIFS($AP$2:$AP$143,"ארצי",$BK$2:$BK$143,"&gt;"&amp;$BK37)+1,COUNTIFS($AP$2:$AP$143,$AP37,$L$2:$L$143,$L37,$BK$2:$BK$143,"&gt;"&amp;$BK37)+1)</f>
        <v>5</v>
      </c>
    </row>
    <row r="38" spans="1:70" x14ac:dyDescent="0.25">
      <c r="A38">
        <v>986</v>
      </c>
      <c r="B38">
        <v>34.7978323918108</v>
      </c>
      <c r="C38">
        <v>31.368962517855099</v>
      </c>
      <c r="D38" t="s">
        <v>298</v>
      </c>
      <c r="E38" t="s">
        <v>299</v>
      </c>
      <c r="F38" t="s">
        <v>300</v>
      </c>
      <c r="G38" t="s">
        <v>301</v>
      </c>
      <c r="H38" t="s">
        <v>302</v>
      </c>
      <c r="I38" t="s">
        <v>303</v>
      </c>
      <c r="J38" t="s">
        <v>74</v>
      </c>
      <c r="K38" t="s">
        <v>102</v>
      </c>
      <c r="L38" t="s">
        <v>102</v>
      </c>
      <c r="M38" t="s">
        <v>131</v>
      </c>
      <c r="N38" t="s">
        <v>132</v>
      </c>
      <c r="O38">
        <v>18959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4</v>
      </c>
      <c r="W38">
        <v>4</v>
      </c>
      <c r="X38">
        <v>0</v>
      </c>
      <c r="Y38">
        <v>0</v>
      </c>
      <c r="Z38">
        <v>3619.0122058164002</v>
      </c>
      <c r="AA38">
        <v>900.749351255644</v>
      </c>
      <c r="AB38">
        <v>9658.5425960579905</v>
      </c>
      <c r="AC38">
        <v>2188.8959096083599</v>
      </c>
      <c r="AD38">
        <v>7137.5020527833803</v>
      </c>
      <c r="AE38">
        <v>1596.6978314263099</v>
      </c>
      <c r="AF38">
        <v>20415.056854657701</v>
      </c>
      <c r="AG38">
        <v>4686.3430922903099</v>
      </c>
      <c r="AH38">
        <v>1</v>
      </c>
      <c r="AI38">
        <v>2</v>
      </c>
      <c r="AJ38">
        <v>2</v>
      </c>
      <c r="AK38">
        <v>2</v>
      </c>
      <c r="AL38">
        <v>52.8</v>
      </c>
      <c r="AM38">
        <v>2</v>
      </c>
      <c r="AN38" t="s">
        <v>103</v>
      </c>
      <c r="AO38" t="b">
        <v>0</v>
      </c>
      <c r="AP38" t="s">
        <v>103</v>
      </c>
      <c r="AQ38">
        <v>2</v>
      </c>
      <c r="AR38">
        <v>7</v>
      </c>
      <c r="AS38">
        <v>2.0903699519909602</v>
      </c>
      <c r="AT38">
        <v>7</v>
      </c>
      <c r="AU38">
        <v>3.8810592892045901</v>
      </c>
      <c r="AV38">
        <v>1.3438542078512901</v>
      </c>
      <c r="AW38">
        <v>4.3923966761881603</v>
      </c>
      <c r="AX38">
        <v>37</v>
      </c>
      <c r="AY38">
        <v>13</v>
      </c>
      <c r="AZ38">
        <v>8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8</v>
      </c>
      <c r="BK38">
        <v>4.3923966761881603</v>
      </c>
      <c r="BL38">
        <v>37</v>
      </c>
      <c r="BM38">
        <v>13</v>
      </c>
      <c r="BN38">
        <v>4.2778154265708599</v>
      </c>
      <c r="BO38">
        <v>7832.0858447638102</v>
      </c>
      <c r="BP38" t="s">
        <v>304</v>
      </c>
      <c r="BQ38" t="str">
        <f>SUBSTITUTE(SUBSTITUTE(SUBSTITUTE(SUBSTITUTE(SUBSTITUTE(SUBSTITUTE(SUBSTITUTE(I38,"[",""),"]",""),"'",""),"M1-LOD-KS","לוד-כפרסבא (מטרו)"),"M1-KS-LOD","כפר סבא-לוד (מטרו)"),"M1-RA-RE","רעננה-רחובות (מטרו)"),"M1-RE-RA","רחובות-רעננה (מטרו)")</f>
        <v>באר שבע-עכו (רכבת בינעירונית), עכו-באר שבע (רכבת בינעירונית), 4.4_Rahat-BeerSheva_Main, נהריה-באר שבע (רכבת בינעירונית), באר שבע-ירושלים (רכבת בינעירונית), 4.4_BeerSheva-Rahat_Main, ירושלים-באר שבע (רכבת בינעירונית), באר שבע-נהריה (רכבת בינעירונית)</v>
      </c>
      <c r="BR38">
        <f>IF($AP38="ארצי",COUNTIFS($AP$2:$AP$143,"ארצי",$BK$2:$BK$143,"&gt;"&amp;$BK38)+1,COUNTIFS($AP$2:$AP$143,$AP38,$L$2:$L$143,$L38,$BK$2:$BK$143,"&gt;"&amp;$BK38)+1)</f>
        <v>2</v>
      </c>
    </row>
    <row r="39" spans="1:70" x14ac:dyDescent="0.25">
      <c r="A39">
        <v>161</v>
      </c>
      <c r="B39">
        <v>34.850499010683201</v>
      </c>
      <c r="C39">
        <v>32.279002801484097</v>
      </c>
      <c r="D39" t="s">
        <v>305</v>
      </c>
      <c r="E39" t="s">
        <v>306</v>
      </c>
      <c r="F39" t="s">
        <v>127</v>
      </c>
      <c r="G39" t="s">
        <v>128</v>
      </c>
      <c r="H39" t="s">
        <v>144</v>
      </c>
      <c r="I39" t="s">
        <v>145</v>
      </c>
      <c r="J39" t="s">
        <v>74</v>
      </c>
      <c r="K39" t="s">
        <v>75</v>
      </c>
      <c r="L39" t="s">
        <v>75</v>
      </c>
      <c r="M39" t="s">
        <v>131</v>
      </c>
      <c r="N39" t="s">
        <v>132</v>
      </c>
      <c r="O39">
        <v>5121.59</v>
      </c>
      <c r="P39">
        <v>1593.59</v>
      </c>
      <c r="Q39">
        <v>0.31115141977393701</v>
      </c>
      <c r="R39">
        <v>1</v>
      </c>
      <c r="S39">
        <v>0</v>
      </c>
      <c r="T39">
        <v>0</v>
      </c>
      <c r="U39">
        <v>0</v>
      </c>
      <c r="V39">
        <v>0</v>
      </c>
      <c r="W39">
        <v>1</v>
      </c>
      <c r="X39">
        <v>0</v>
      </c>
      <c r="Y39">
        <v>0</v>
      </c>
      <c r="Z39">
        <v>12988.7189369196</v>
      </c>
      <c r="AA39">
        <v>2007.78936258884</v>
      </c>
      <c r="AB39">
        <v>13598.090070513401</v>
      </c>
      <c r="AC39">
        <v>10879.995063853599</v>
      </c>
      <c r="AD39">
        <v>6607.67629675018</v>
      </c>
      <c r="AE39">
        <v>7884.6676232262098</v>
      </c>
      <c r="AF39">
        <v>33194.485304183203</v>
      </c>
      <c r="AG39">
        <v>20772.452049668598</v>
      </c>
      <c r="AH39">
        <v>0</v>
      </c>
      <c r="AI39">
        <v>2</v>
      </c>
      <c r="AJ39">
        <v>0</v>
      </c>
      <c r="AK39">
        <v>2</v>
      </c>
      <c r="AL39">
        <v>9.9</v>
      </c>
      <c r="AM39">
        <v>0</v>
      </c>
      <c r="AN39" t="s">
        <v>133</v>
      </c>
      <c r="AO39" t="b">
        <v>0</v>
      </c>
      <c r="AP39" t="s">
        <v>133</v>
      </c>
      <c r="AQ39">
        <v>0</v>
      </c>
      <c r="AR39">
        <v>1</v>
      </c>
      <c r="AS39">
        <v>1</v>
      </c>
      <c r="AT39">
        <v>1</v>
      </c>
      <c r="AU39">
        <v>4.7420084041671497</v>
      </c>
      <c r="AV39">
        <v>2.0858519530195299</v>
      </c>
      <c r="AW39">
        <v>4.3684549997122399</v>
      </c>
      <c r="AX39">
        <v>38</v>
      </c>
      <c r="AY39">
        <v>8</v>
      </c>
      <c r="AZ39">
        <v>2</v>
      </c>
      <c r="BA39">
        <v>0</v>
      </c>
      <c r="BB39">
        <v>0</v>
      </c>
      <c r="BC39">
        <v>2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2</v>
      </c>
      <c r="BJ39">
        <v>2</v>
      </c>
      <c r="BK39">
        <v>4.3684549997122399</v>
      </c>
      <c r="BL39">
        <v>38</v>
      </c>
      <c r="BM39">
        <v>8</v>
      </c>
      <c r="BN39">
        <v>3.7094048088328</v>
      </c>
      <c r="BO39">
        <v>23256.858700571502</v>
      </c>
      <c r="BP39" t="s">
        <v>307</v>
      </c>
      <c r="BQ39" t="str">
        <f>SUBSTITUTE(SUBSTITUTE(SUBSTITUTE(SUBSTITUTE(SUBSTITUTE(SUBSTITUTE(SUBSTITUTE(I39,"[",""),"]",""),"'",""),"M1-LOD-KS","לוד-כפרסבא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39">
        <f>IF($AP39="ארצי",COUNTIFS($AP$2:$AP$143,"ארצי",$BK$2:$BK$143,"&gt;"&amp;$BK39)+1,COUNTIFS($AP$2:$AP$143,$AP39,$L$2:$L$143,$L39,$BK$2:$BK$143,"&gt;"&amp;$BK39)+1)</f>
        <v>8</v>
      </c>
    </row>
    <row r="40" spans="1:70" x14ac:dyDescent="0.25">
      <c r="A40">
        <v>157</v>
      </c>
      <c r="B40">
        <v>34.860866716870603</v>
      </c>
      <c r="C40">
        <v>32.278108731989299</v>
      </c>
      <c r="D40" t="s">
        <v>308</v>
      </c>
      <c r="E40" t="s">
        <v>309</v>
      </c>
      <c r="F40" t="s">
        <v>127</v>
      </c>
      <c r="G40" t="s">
        <v>128</v>
      </c>
      <c r="H40" t="s">
        <v>144</v>
      </c>
      <c r="I40" t="s">
        <v>145</v>
      </c>
      <c r="J40" t="s">
        <v>74</v>
      </c>
      <c r="K40" t="s">
        <v>75</v>
      </c>
      <c r="L40" t="s">
        <v>75</v>
      </c>
      <c r="M40" t="s">
        <v>131</v>
      </c>
      <c r="N40" t="s">
        <v>132</v>
      </c>
      <c r="O40">
        <v>5159.20999999999</v>
      </c>
      <c r="P40">
        <v>22.830223</v>
      </c>
      <c r="Q40">
        <v>4.4251393139647299E-3</v>
      </c>
      <c r="R40">
        <v>1</v>
      </c>
      <c r="S40">
        <v>0</v>
      </c>
      <c r="T40">
        <v>0</v>
      </c>
      <c r="U40">
        <v>0</v>
      </c>
      <c r="V40">
        <v>0</v>
      </c>
      <c r="W40">
        <v>1</v>
      </c>
      <c r="X40">
        <v>0</v>
      </c>
      <c r="Y40">
        <v>0</v>
      </c>
      <c r="Z40">
        <v>2044.69094337301</v>
      </c>
      <c r="AA40">
        <v>19171.085603971798</v>
      </c>
      <c r="AB40">
        <v>9813.7784651027996</v>
      </c>
      <c r="AC40">
        <v>12636.9112203074</v>
      </c>
      <c r="AD40">
        <v>6077.8450595101203</v>
      </c>
      <c r="AE40">
        <v>4380.4165963724799</v>
      </c>
      <c r="AF40">
        <v>17936.3144679859</v>
      </c>
      <c r="AG40">
        <v>36188.413420651697</v>
      </c>
      <c r="AH40">
        <v>0</v>
      </c>
      <c r="AI40">
        <v>2</v>
      </c>
      <c r="AJ40">
        <v>0</v>
      </c>
      <c r="AK40">
        <v>2</v>
      </c>
      <c r="AL40">
        <v>9.9</v>
      </c>
      <c r="AM40">
        <v>1</v>
      </c>
      <c r="AN40" t="s">
        <v>133</v>
      </c>
      <c r="AO40" t="b">
        <v>0</v>
      </c>
      <c r="AP40" t="s">
        <v>133</v>
      </c>
      <c r="AQ40">
        <v>1</v>
      </c>
      <c r="AR40">
        <v>1</v>
      </c>
      <c r="AS40">
        <v>1</v>
      </c>
      <c r="AT40">
        <v>4</v>
      </c>
      <c r="AU40">
        <v>4.7614602845085798</v>
      </c>
      <c r="AV40">
        <v>2.5323143583140899</v>
      </c>
      <c r="AW40">
        <v>4.2036226464896203</v>
      </c>
      <c r="AX40">
        <v>39</v>
      </c>
      <c r="AY40">
        <v>9</v>
      </c>
      <c r="AZ40">
        <v>2</v>
      </c>
      <c r="BA40">
        <v>0</v>
      </c>
      <c r="BB40">
        <v>0</v>
      </c>
      <c r="BC40">
        <v>2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2</v>
      </c>
      <c r="BJ40">
        <v>2</v>
      </c>
      <c r="BK40">
        <v>4.2036226464896203</v>
      </c>
      <c r="BL40">
        <v>39</v>
      </c>
      <c r="BM40">
        <v>9</v>
      </c>
      <c r="BN40">
        <v>3.7125832057149499</v>
      </c>
      <c r="BO40">
        <v>32537.993630118599</v>
      </c>
      <c r="BP40" t="s">
        <v>310</v>
      </c>
      <c r="BQ40" t="str">
        <f>SUBSTITUTE(SUBSTITUTE(SUBSTITUTE(SUBSTITUTE(SUBSTITUTE(SUBSTITUTE(SUBSTITUTE(I40,"[",""),"]",""),"'",""),"M1-LOD-KS","לוד-כפרסבא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40">
        <f>IF($AP40="ארצי",COUNTIFS($AP$2:$AP$143,"ארצי",$BK$2:$BK$143,"&gt;"&amp;$BK40)+1,COUNTIFS($AP$2:$AP$143,$AP40,$L$2:$L$143,$L40,$BK$2:$BK$143,"&gt;"&amp;$BK40)+1)</f>
        <v>9</v>
      </c>
    </row>
    <row r="41" spans="1:70" x14ac:dyDescent="0.25">
      <c r="A41">
        <v>129</v>
      </c>
      <c r="B41">
        <v>34.934926307815303</v>
      </c>
      <c r="C41">
        <v>32.17575643544</v>
      </c>
      <c r="D41" t="s">
        <v>781</v>
      </c>
      <c r="E41" t="s">
        <v>782</v>
      </c>
      <c r="F41" t="s">
        <v>313</v>
      </c>
      <c r="G41" t="s">
        <v>314</v>
      </c>
      <c r="H41" t="s">
        <v>783</v>
      </c>
      <c r="I41" t="s">
        <v>784</v>
      </c>
      <c r="J41" t="s">
        <v>74</v>
      </c>
      <c r="K41" t="s">
        <v>75</v>
      </c>
      <c r="L41" t="s">
        <v>75</v>
      </c>
      <c r="M41" t="s">
        <v>216</v>
      </c>
      <c r="N41" t="s">
        <v>132</v>
      </c>
      <c r="O41">
        <v>6552.7</v>
      </c>
      <c r="P41">
        <v>5353.33</v>
      </c>
      <c r="Q41">
        <v>0.81696552566117697</v>
      </c>
      <c r="R41">
        <v>2</v>
      </c>
      <c r="S41">
        <v>0</v>
      </c>
      <c r="T41">
        <v>0</v>
      </c>
      <c r="U41">
        <v>0</v>
      </c>
      <c r="V41">
        <v>0</v>
      </c>
      <c r="W41">
        <v>0</v>
      </c>
      <c r="X41">
        <v>1</v>
      </c>
      <c r="Y41">
        <v>0</v>
      </c>
      <c r="Z41">
        <v>4262.5726261449099</v>
      </c>
      <c r="AA41">
        <v>8265.6089021265507</v>
      </c>
      <c r="AB41">
        <v>9468.4885802262706</v>
      </c>
      <c r="AC41">
        <v>9649.3524214262598</v>
      </c>
      <c r="AD41">
        <v>8775.0147969914105</v>
      </c>
      <c r="AE41">
        <v>3950.4305283067201</v>
      </c>
      <c r="AF41">
        <v>22506.076003362599</v>
      </c>
      <c r="AG41">
        <v>21865.391851859498</v>
      </c>
      <c r="AH41">
        <v>0</v>
      </c>
      <c r="AI41">
        <v>2</v>
      </c>
      <c r="AJ41">
        <v>0</v>
      </c>
      <c r="AK41">
        <v>2</v>
      </c>
      <c r="AL41">
        <v>15.4</v>
      </c>
      <c r="AM41">
        <v>0</v>
      </c>
      <c r="AN41" t="s">
        <v>103</v>
      </c>
      <c r="AO41" t="b">
        <v>0</v>
      </c>
      <c r="AP41" t="s">
        <v>103</v>
      </c>
      <c r="AQ41">
        <v>0</v>
      </c>
      <c r="AR41">
        <v>1</v>
      </c>
      <c r="AS41">
        <v>1.1397910194860199</v>
      </c>
      <c r="AT41">
        <v>1</v>
      </c>
      <c r="AU41">
        <v>1.5388816054355401</v>
      </c>
      <c r="AV41">
        <v>2.0250803595686899</v>
      </c>
      <c r="AW41">
        <v>1.34076908619352</v>
      </c>
      <c r="AX41">
        <v>147</v>
      </c>
      <c r="AY41">
        <v>71</v>
      </c>
      <c r="AZ41">
        <v>3</v>
      </c>
      <c r="BA41">
        <v>2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2</v>
      </c>
      <c r="BJ41">
        <v>3</v>
      </c>
      <c r="BK41">
        <v>1.34076908619352</v>
      </c>
      <c r="BL41">
        <v>147</v>
      </c>
      <c r="BM41">
        <v>71</v>
      </c>
      <c r="BN41">
        <v>3.8164202852570699</v>
      </c>
      <c r="BO41">
        <v>21993.5286821601</v>
      </c>
      <c r="BP41" t="s">
        <v>804</v>
      </c>
      <c r="BQ41" t="str">
        <f>SUBSTITUTE(SUBSTITUTE(SUBSTITUTE(SUBSTITUTE(SUBSTITUTE(SUBSTITUTE(SUBSTITUTE(I41,"[",""),"]",""),"'",""),"M1-LOD-KS","לוד-כפרסבא (מטרו)"),"M1-KS-LOD","כפר סבא-לוד (מטרו)"),"M1-RA-RE","רעננה-רחובות (מטרו)"),"M1-RE-RA","רחובות-רעננה (מטרו)")</f>
        <v>כפר סבא-לוד (מטרו), כפר סבא-הרצליה (BRT), הרצליה-כפר סבא (BRT)</v>
      </c>
      <c r="BR41">
        <f>IF($AP41="ארצי",COUNTIFS($AP$2:$AP$143,"ארצי",$BK$2:$BK$143,"&gt;"&amp;$BK41)+1,COUNTIFS($AP$2:$AP$143,$AP41,$L$2:$L$143,$L41,$BK$2:$BK$143,"&gt;"&amp;$BK41)+1)</f>
        <v>54</v>
      </c>
    </row>
    <row r="42" spans="1:70" x14ac:dyDescent="0.25">
      <c r="A42">
        <v>553</v>
      </c>
      <c r="B42">
        <v>34.771089882607797</v>
      </c>
      <c r="C42">
        <v>32.070245471424499</v>
      </c>
      <c r="D42" t="s">
        <v>317</v>
      </c>
      <c r="E42" t="s">
        <v>318</v>
      </c>
      <c r="F42" t="s">
        <v>202</v>
      </c>
      <c r="G42" t="s">
        <v>203</v>
      </c>
      <c r="H42" t="s">
        <v>319</v>
      </c>
      <c r="I42" t="s">
        <v>320</v>
      </c>
      <c r="J42" t="s">
        <v>74</v>
      </c>
      <c r="K42" t="s">
        <v>75</v>
      </c>
      <c r="L42" t="s">
        <v>75</v>
      </c>
      <c r="M42" t="s">
        <v>76</v>
      </c>
      <c r="N42" t="s">
        <v>77</v>
      </c>
      <c r="O42">
        <v>160361.63</v>
      </c>
      <c r="P42">
        <v>104316.56</v>
      </c>
      <c r="Q42">
        <v>0.65050822943119202</v>
      </c>
      <c r="R42">
        <v>0</v>
      </c>
      <c r="S42">
        <v>0</v>
      </c>
      <c r="T42">
        <v>0</v>
      </c>
      <c r="U42">
        <v>0</v>
      </c>
      <c r="V42">
        <v>0</v>
      </c>
      <c r="W42">
        <v>3.5</v>
      </c>
      <c r="X42">
        <v>3.5</v>
      </c>
      <c r="Y42">
        <v>0</v>
      </c>
      <c r="Z42">
        <v>25191.366986750501</v>
      </c>
      <c r="AA42">
        <v>44177.3086948856</v>
      </c>
      <c r="AB42">
        <v>41743.956936798597</v>
      </c>
      <c r="AC42">
        <v>65661.733087427405</v>
      </c>
      <c r="AD42">
        <v>21320.373724825498</v>
      </c>
      <c r="AE42">
        <v>40370.8924360936</v>
      </c>
      <c r="AF42">
        <v>88255.697648374597</v>
      </c>
      <c r="AG42">
        <v>150209.93421840601</v>
      </c>
      <c r="AH42">
        <v>0</v>
      </c>
      <c r="AI42">
        <v>3</v>
      </c>
      <c r="AJ42">
        <v>0</v>
      </c>
      <c r="AK42">
        <v>2</v>
      </c>
      <c r="AL42">
        <v>42.35</v>
      </c>
      <c r="AM42">
        <v>0</v>
      </c>
      <c r="AN42" t="s">
        <v>103</v>
      </c>
      <c r="AO42" t="b">
        <v>0</v>
      </c>
      <c r="AP42" t="s">
        <v>103</v>
      </c>
      <c r="AQ42">
        <v>0</v>
      </c>
      <c r="AR42">
        <v>1</v>
      </c>
      <c r="AS42">
        <v>1.8247670149675199</v>
      </c>
      <c r="AT42">
        <v>1</v>
      </c>
      <c r="AU42">
        <v>8.5882313462998301</v>
      </c>
      <c r="AV42">
        <v>7.5967865906524299</v>
      </c>
      <c r="AW42">
        <v>4.1399926951414203</v>
      </c>
      <c r="AX42">
        <v>41</v>
      </c>
      <c r="AY42">
        <v>15</v>
      </c>
      <c r="AZ42">
        <v>7</v>
      </c>
      <c r="BA42">
        <v>0</v>
      </c>
      <c r="BB42">
        <v>2</v>
      </c>
      <c r="BC42">
        <v>0</v>
      </c>
      <c r="BD42">
        <v>0</v>
      </c>
      <c r="BE42">
        <v>0</v>
      </c>
      <c r="BF42">
        <v>0</v>
      </c>
      <c r="BG42">
        <v>5</v>
      </c>
      <c r="BH42">
        <v>0</v>
      </c>
      <c r="BI42">
        <v>7</v>
      </c>
      <c r="BJ42">
        <v>7</v>
      </c>
      <c r="BK42">
        <v>4.1399926951414203</v>
      </c>
      <c r="BL42">
        <v>41</v>
      </c>
      <c r="BM42">
        <v>15</v>
      </c>
      <c r="BN42">
        <v>5.2051004619985797</v>
      </c>
      <c r="BO42">
        <v>137819.0869044</v>
      </c>
      <c r="BP42" t="s">
        <v>321</v>
      </c>
      <c r="BQ42" t="str">
        <f>SUBSTITUTE(SUBSTITUTE(SUBSTITUTE(SUBSTITUTE(SUBSTITUTE(SUBSTITUTE(SUBSTITUTE(I42,"[",""),"]",""),"'",""),"M1-LOD-KS","לוד-כפרסבא (מטרו)"),"M1-KS-LOD","כפר סבא-לוד (מטרו)"),"M1-RA-RE","רעננה-רחובות (מטרו)"),"M1-RE-RA","רחובות-רעננה (מטרו)")</f>
        <v>בר אילן-סבידור (רק"ל), יהוד-סבידור (רק"ל), וולפסון-סגולה (מטרו), יהוד-אלנבי (רק"ל), סגולה-וולפסון (מטרו), סבידור-יהוד (רק"ל), סבידור-בר אילן (רק"ל)</v>
      </c>
      <c r="BR42">
        <f>IF($AP42="ארצי",COUNTIFS($AP$2:$AP$143,"ארצי",$BK$2:$BK$143,"&gt;"&amp;$BK42)+1,COUNTIFS($AP$2:$AP$143,$AP42,$L$2:$L$143,$L42,$BK$2:$BK$143,"&gt;"&amp;$BK42)+1)</f>
        <v>7</v>
      </c>
    </row>
    <row r="43" spans="1:70" x14ac:dyDescent="0.25">
      <c r="A43">
        <v>445</v>
      </c>
      <c r="B43">
        <v>34.862768403924001</v>
      </c>
      <c r="C43">
        <v>32.105676236047302</v>
      </c>
      <c r="D43" t="s">
        <v>322</v>
      </c>
      <c r="E43" t="s">
        <v>323</v>
      </c>
      <c r="F43" t="s">
        <v>324</v>
      </c>
      <c r="G43" t="s">
        <v>325</v>
      </c>
      <c r="H43" t="s">
        <v>326</v>
      </c>
      <c r="I43" t="s">
        <v>327</v>
      </c>
      <c r="J43" t="s">
        <v>74</v>
      </c>
      <c r="K43" t="s">
        <v>75</v>
      </c>
      <c r="L43" t="s">
        <v>75</v>
      </c>
      <c r="M43" t="s">
        <v>216</v>
      </c>
      <c r="N43" t="s">
        <v>132</v>
      </c>
      <c r="O43">
        <v>123946.47</v>
      </c>
      <c r="P43">
        <v>119028.47</v>
      </c>
      <c r="Q43">
        <v>0.96032158075982299</v>
      </c>
      <c r="R43">
        <v>0</v>
      </c>
      <c r="S43">
        <v>0</v>
      </c>
      <c r="T43">
        <v>0</v>
      </c>
      <c r="U43">
        <v>0</v>
      </c>
      <c r="V43">
        <v>0</v>
      </c>
      <c r="W43">
        <v>4</v>
      </c>
      <c r="X43">
        <v>2</v>
      </c>
      <c r="Y43">
        <v>2</v>
      </c>
      <c r="Z43">
        <v>462.11098999340197</v>
      </c>
      <c r="AA43">
        <v>2820.8066036258401</v>
      </c>
      <c r="AB43">
        <v>3588.43289225132</v>
      </c>
      <c r="AC43">
        <v>10973.222008167701</v>
      </c>
      <c r="AD43">
        <v>3889.99783458925</v>
      </c>
      <c r="AE43">
        <v>9125.6164484873298</v>
      </c>
      <c r="AF43">
        <v>7940.54171683397</v>
      </c>
      <c r="AG43">
        <v>22919.645060280902</v>
      </c>
      <c r="AH43">
        <v>0</v>
      </c>
      <c r="AI43">
        <v>2</v>
      </c>
      <c r="AJ43">
        <v>0</v>
      </c>
      <c r="AK43">
        <v>3</v>
      </c>
      <c r="AL43">
        <v>52.8</v>
      </c>
      <c r="AM43">
        <v>2</v>
      </c>
      <c r="AN43" t="s">
        <v>103</v>
      </c>
      <c r="AO43" t="b">
        <v>0</v>
      </c>
      <c r="AP43" t="s">
        <v>103</v>
      </c>
      <c r="AQ43">
        <v>2</v>
      </c>
      <c r="AR43">
        <v>1</v>
      </c>
      <c r="AS43">
        <v>2.0903699519909602</v>
      </c>
      <c r="AT43">
        <v>7</v>
      </c>
      <c r="AU43">
        <v>8.0203650498076193</v>
      </c>
      <c r="AV43">
        <v>1.9255187043583999</v>
      </c>
      <c r="AW43">
        <v>4.0895061060459996</v>
      </c>
      <c r="AX43">
        <v>42</v>
      </c>
      <c r="AY43">
        <v>16</v>
      </c>
      <c r="AZ43">
        <v>8</v>
      </c>
      <c r="BA43">
        <v>2</v>
      </c>
      <c r="BB43">
        <v>0</v>
      </c>
      <c r="BC43">
        <v>0</v>
      </c>
      <c r="BD43">
        <v>0</v>
      </c>
      <c r="BE43">
        <v>0</v>
      </c>
      <c r="BF43">
        <v>2</v>
      </c>
      <c r="BG43">
        <v>0</v>
      </c>
      <c r="BH43">
        <v>0</v>
      </c>
      <c r="BI43">
        <v>4</v>
      </c>
      <c r="BJ43">
        <v>8</v>
      </c>
      <c r="BK43">
        <v>4.0895061060459996</v>
      </c>
      <c r="BL43">
        <v>42</v>
      </c>
      <c r="BM43">
        <v>16</v>
      </c>
      <c r="BN43">
        <v>5.0932341625572297</v>
      </c>
      <c r="BO43">
        <v>19923.824391591501</v>
      </c>
      <c r="BP43" t="s">
        <v>328</v>
      </c>
      <c r="BQ43" t="str">
        <f>SUBSTITUTE(SUBSTITUTE(SUBSTITUTE(SUBSTITUTE(SUBSTITUTE(SUBSTITUTE(SUBSTITUTE(I43,"[",""),"]",""),"'",""),"M1-LOD-KS","לוד-כפרסבא (מטרו)"),"M1-KS-LOD","כפר סבא-לוד (מטרו)"),"M1-RA-RE","רעננה-רחובות (מטרו)"),"M1-RE-RA","רחובות-רעננה (מטרו)")</f>
        <v>פ"ת (קרית אריה)-ראשל"צ (רק"ל), מודיעין-באר שבע (רכבת פרברית), פ"ת-ת"א (רק"ל), באר שבע-מודיעין (רכבת פרברית), צומת בילו-צומת רעננה (רק"ל), צומת רעננה-צומת בילו (רק"ל), הרצליה-בת ים (מטרו), בת ים-הרצליה (מטרו)</v>
      </c>
      <c r="BR43">
        <f>IF($AP43="ארצי",COUNTIFS($AP$2:$AP$143,"ארצי",$BK$2:$BK$143,"&gt;"&amp;$BK43)+1,COUNTIFS($AP$2:$AP$143,$AP43,$L$2:$L$143,$L43,$BK$2:$BK$143,"&gt;"&amp;$BK43)+1)</f>
        <v>8</v>
      </c>
    </row>
    <row r="44" spans="1:70" x14ac:dyDescent="0.25">
      <c r="A44">
        <v>931</v>
      </c>
      <c r="B44">
        <v>34.6659199157939</v>
      </c>
      <c r="C44">
        <v>31.774495625484001</v>
      </c>
      <c r="D44" t="s">
        <v>329</v>
      </c>
      <c r="E44" t="s">
        <v>330</v>
      </c>
      <c r="F44" t="s">
        <v>331</v>
      </c>
      <c r="G44" t="s">
        <v>332</v>
      </c>
      <c r="H44" t="s">
        <v>333</v>
      </c>
      <c r="I44" t="s">
        <v>334</v>
      </c>
      <c r="J44" t="s">
        <v>74</v>
      </c>
      <c r="K44" t="s">
        <v>75</v>
      </c>
      <c r="L44" t="s">
        <v>75</v>
      </c>
      <c r="M44" t="s">
        <v>131</v>
      </c>
      <c r="N44" t="s">
        <v>132</v>
      </c>
      <c r="O44">
        <v>30260.87</v>
      </c>
      <c r="P44">
        <v>26483.99</v>
      </c>
      <c r="Q44">
        <v>0.87518931213808404</v>
      </c>
      <c r="R44">
        <v>0</v>
      </c>
      <c r="S44">
        <v>0</v>
      </c>
      <c r="T44">
        <v>0</v>
      </c>
      <c r="U44">
        <v>0</v>
      </c>
      <c r="V44">
        <v>3.6666666666666599</v>
      </c>
      <c r="W44">
        <v>8.6666666666666607</v>
      </c>
      <c r="X44">
        <v>0</v>
      </c>
      <c r="Y44">
        <v>3.6666666666666599</v>
      </c>
      <c r="Z44">
        <v>4753.6015218254997</v>
      </c>
      <c r="AA44">
        <v>4377.7511660779801</v>
      </c>
      <c r="AB44">
        <v>7963.5706089425703</v>
      </c>
      <c r="AC44">
        <v>4025.4657146852401</v>
      </c>
      <c r="AD44">
        <v>5857.77868725196</v>
      </c>
      <c r="AE44">
        <v>2428.21961984362</v>
      </c>
      <c r="AF44">
        <v>18574.950818019999</v>
      </c>
      <c r="AG44">
        <v>10831.4365006068</v>
      </c>
      <c r="AH44">
        <v>0</v>
      </c>
      <c r="AI44">
        <v>2</v>
      </c>
      <c r="AJ44">
        <v>0</v>
      </c>
      <c r="AK44">
        <v>3</v>
      </c>
      <c r="AL44">
        <v>109.2</v>
      </c>
      <c r="AM44">
        <v>2</v>
      </c>
      <c r="AN44" t="s">
        <v>103</v>
      </c>
      <c r="AO44" t="b">
        <v>0</v>
      </c>
      <c r="AP44" t="s">
        <v>103</v>
      </c>
      <c r="AQ44">
        <v>2</v>
      </c>
      <c r="AR44">
        <v>1</v>
      </c>
      <c r="AS44">
        <v>3.5238633154476098</v>
      </c>
      <c r="AT44">
        <v>7</v>
      </c>
      <c r="AU44">
        <v>4.9118820520419</v>
      </c>
      <c r="AV44">
        <v>1.56263509284652</v>
      </c>
      <c r="AW44">
        <v>4.0537312872979996</v>
      </c>
      <c r="AX44">
        <v>43</v>
      </c>
      <c r="AY44">
        <v>17</v>
      </c>
      <c r="AZ44">
        <v>15.999999999999901</v>
      </c>
      <c r="BA44">
        <v>1</v>
      </c>
      <c r="BB44">
        <v>0</v>
      </c>
      <c r="BC44">
        <v>4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5</v>
      </c>
      <c r="BJ44">
        <v>16</v>
      </c>
      <c r="BK44">
        <v>4.0537312872979996</v>
      </c>
      <c r="BL44">
        <v>43</v>
      </c>
      <c r="BM44">
        <v>17</v>
      </c>
      <c r="BN44">
        <v>4.48088140983283</v>
      </c>
      <c r="BO44">
        <v>12380.1393640894</v>
      </c>
      <c r="BP44" t="s">
        <v>335</v>
      </c>
      <c r="BQ44" t="str">
        <f>SUBSTITUTE(SUBSTITUTE(SUBSTITUTE(SUBSTITUTE(SUBSTITUTE(SUBSTITUTE(SUBSTITUTE(I44,"[",""),"]",""),"'",""),"M1-LOD-KS","לוד-כפרסבא (מטרו)"),"M1-KS-LOD","כפר סבא-לוד (מטרו)"),"M1-RA-RE","רעננה-רחובות (מטרו)"),"M1-RE-RA","רחובות-רעננה (מטרו)")</f>
        <v>מודיעין-באר שבע (רכבת פרברית), זיכרון יעקב-אשקלון (רכבת פרברית), מודיעין-אשדוד (רכבת פרברית), אשקלון-כרמיאל (רכבת בינעירונית), אשדוד-מודיעין (רכבת פרברית), זיכרון יעקב-שוקת (רכבת פרברית), באר שבע-מודיעין (רכבת פרברית), כרמיאל-אשקלון (רכבת בינעירונית), אשדוד-יבנה (דרך הנמל) (רק"ל), שוקת-זיכרון יעקב (רכבת פרברית), אשקלון-זיכרון יעקב (רכבת פרברית), אשקלון-אשדוד (כתום) (רק"ל), אשדוד-אשקלון (אדום) (רק"ל), אשקלון-אשדוד (אדום) (רק"ל), אשדוד-אשקלון (כתום) (רק"ל), אשדוד-רחובות (דרך הנמל) (רק"ל)</v>
      </c>
      <c r="BR44">
        <f>IF($AP44="ארצי",COUNTIFS($AP$2:$AP$143,"ארצי",$BK$2:$BK$143,"&gt;"&amp;$BK44)+1,COUNTIFS($AP$2:$AP$143,$AP44,$L$2:$L$143,$L44,$BK$2:$BK$143,"&gt;"&amp;$BK44)+1)</f>
        <v>9</v>
      </c>
    </row>
    <row r="45" spans="1:70" x14ac:dyDescent="0.25">
      <c r="A45">
        <v>12</v>
      </c>
      <c r="B45">
        <v>34.927732419695303</v>
      </c>
      <c r="C45">
        <v>32.321433605659102</v>
      </c>
      <c r="D45" t="s">
        <v>336</v>
      </c>
      <c r="E45" t="s">
        <v>337</v>
      </c>
      <c r="F45" t="s">
        <v>127</v>
      </c>
      <c r="G45" t="s">
        <v>128</v>
      </c>
      <c r="H45" t="s">
        <v>144</v>
      </c>
      <c r="I45" t="s">
        <v>145</v>
      </c>
      <c r="J45" t="s">
        <v>74</v>
      </c>
      <c r="K45" t="s">
        <v>75</v>
      </c>
      <c r="L45" t="s">
        <v>75</v>
      </c>
      <c r="M45" t="s">
        <v>131</v>
      </c>
      <c r="N45" t="s">
        <v>132</v>
      </c>
      <c r="O45">
        <v>13907.1</v>
      </c>
      <c r="P45">
        <v>2464.34</v>
      </c>
      <c r="Q45">
        <v>0.17720013518274799</v>
      </c>
      <c r="R45">
        <v>1</v>
      </c>
      <c r="S45">
        <v>0</v>
      </c>
      <c r="T45">
        <v>0</v>
      </c>
      <c r="U45">
        <v>0</v>
      </c>
      <c r="V45">
        <v>0</v>
      </c>
      <c r="W45">
        <v>1</v>
      </c>
      <c r="X45">
        <v>0</v>
      </c>
      <c r="Y45">
        <v>0</v>
      </c>
      <c r="Z45">
        <v>5547.5310843948</v>
      </c>
      <c r="AA45">
        <v>2533.00877295598</v>
      </c>
      <c r="AB45">
        <v>8695.1631027681306</v>
      </c>
      <c r="AC45">
        <v>3827.1370987289001</v>
      </c>
      <c r="AD45">
        <v>5680.2459185730904</v>
      </c>
      <c r="AE45">
        <v>2458.7420193858002</v>
      </c>
      <c r="AF45">
        <v>19922.940105736001</v>
      </c>
      <c r="AG45">
        <v>8818.8878910706808</v>
      </c>
      <c r="AH45">
        <v>0</v>
      </c>
      <c r="AI45">
        <v>2</v>
      </c>
      <c r="AJ45">
        <v>0</v>
      </c>
      <c r="AK45">
        <v>2</v>
      </c>
      <c r="AL45">
        <v>9.9</v>
      </c>
      <c r="AM45">
        <v>0</v>
      </c>
      <c r="AN45" t="s">
        <v>133</v>
      </c>
      <c r="AO45" t="b">
        <v>0</v>
      </c>
      <c r="AP45" t="s">
        <v>133</v>
      </c>
      <c r="AQ45">
        <v>0</v>
      </c>
      <c r="AR45">
        <v>1</v>
      </c>
      <c r="AS45">
        <v>1</v>
      </c>
      <c r="AT45">
        <v>1</v>
      </c>
      <c r="AU45">
        <v>7.3970713069905099</v>
      </c>
      <c r="AV45">
        <v>1.49815412893527</v>
      </c>
      <c r="AW45">
        <v>3.9853588743449699</v>
      </c>
      <c r="AX45">
        <v>44</v>
      </c>
      <c r="AY45">
        <v>10</v>
      </c>
      <c r="AZ45">
        <v>2</v>
      </c>
      <c r="BA45">
        <v>0</v>
      </c>
      <c r="BB45">
        <v>0</v>
      </c>
      <c r="BC45">
        <v>2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2</v>
      </c>
      <c r="BJ45">
        <v>2</v>
      </c>
      <c r="BK45">
        <v>3.9853588743449699</v>
      </c>
      <c r="BL45">
        <v>44</v>
      </c>
      <c r="BM45">
        <v>10</v>
      </c>
      <c r="BN45">
        <v>4.1432365774900104</v>
      </c>
      <c r="BO45">
        <v>11039.6983340037</v>
      </c>
      <c r="BP45" t="s">
        <v>338</v>
      </c>
      <c r="BQ45" t="str">
        <f>SUBSTITUTE(SUBSTITUTE(SUBSTITUTE(SUBSTITUTE(SUBSTITUTE(SUBSTITUTE(SUBSTITUTE(I45,"[",""),"]",""),"'",""),"M1-LOD-KS","לוד-כפרסבא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45">
        <f>IF($AP45="ארצי",COUNTIFS($AP$2:$AP$143,"ארצי",$BK$2:$BK$143,"&gt;"&amp;$BK45)+1,COUNTIFS($AP$2:$AP$143,$AP45,$L$2:$L$143,$L45,$BK$2:$BK$143,"&gt;"&amp;$BK45)+1)</f>
        <v>10</v>
      </c>
    </row>
    <row r="46" spans="1:70" x14ac:dyDescent="0.25">
      <c r="A46">
        <v>668</v>
      </c>
      <c r="B46">
        <v>34.7604640629649</v>
      </c>
      <c r="C46">
        <v>32.035316418752103</v>
      </c>
      <c r="D46" t="s">
        <v>339</v>
      </c>
      <c r="E46" t="s">
        <v>340</v>
      </c>
      <c r="F46" t="s">
        <v>341</v>
      </c>
      <c r="G46" t="s">
        <v>342</v>
      </c>
      <c r="H46" t="s">
        <v>343</v>
      </c>
      <c r="I46" t="s">
        <v>344</v>
      </c>
      <c r="J46" t="s">
        <v>74</v>
      </c>
      <c r="K46" t="s">
        <v>75</v>
      </c>
      <c r="L46" t="s">
        <v>75</v>
      </c>
      <c r="M46" t="s">
        <v>139</v>
      </c>
      <c r="N46" t="s">
        <v>132</v>
      </c>
      <c r="O46">
        <v>75179.850000000006</v>
      </c>
      <c r="P46">
        <v>61183.879999999903</v>
      </c>
      <c r="Q46">
        <v>0.81383349394817805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3</v>
      </c>
      <c r="Z46">
        <v>17758.6975435024</v>
      </c>
      <c r="AA46">
        <v>8651.6189401323809</v>
      </c>
      <c r="AB46">
        <v>33990.119868403301</v>
      </c>
      <c r="AC46">
        <v>8046.6455319577699</v>
      </c>
      <c r="AD46">
        <v>19591.396696201798</v>
      </c>
      <c r="AE46">
        <v>4825.3483933673197</v>
      </c>
      <c r="AF46">
        <v>71340.214108107699</v>
      </c>
      <c r="AG46">
        <v>21523.612865457399</v>
      </c>
      <c r="AH46">
        <v>0</v>
      </c>
      <c r="AI46">
        <v>2</v>
      </c>
      <c r="AJ46">
        <v>0</v>
      </c>
      <c r="AK46">
        <v>2</v>
      </c>
      <c r="AL46">
        <v>39.6</v>
      </c>
      <c r="AM46">
        <v>2</v>
      </c>
      <c r="AN46" t="s">
        <v>103</v>
      </c>
      <c r="AO46" t="b">
        <v>0</v>
      </c>
      <c r="AP46" t="s">
        <v>103</v>
      </c>
      <c r="AQ46">
        <v>2</v>
      </c>
      <c r="AR46">
        <v>1</v>
      </c>
      <c r="AS46">
        <v>1.7548715052245101</v>
      </c>
      <c r="AT46">
        <v>7</v>
      </c>
      <c r="AU46">
        <v>6.9181354491253604</v>
      </c>
      <c r="AV46">
        <v>2.4817538385388498</v>
      </c>
      <c r="AW46">
        <v>3.9522188549189998</v>
      </c>
      <c r="AX46">
        <v>45</v>
      </c>
      <c r="AY46">
        <v>18</v>
      </c>
      <c r="AZ46">
        <v>6</v>
      </c>
      <c r="BA46">
        <v>0</v>
      </c>
      <c r="BB46">
        <v>2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2</v>
      </c>
      <c r="BJ46">
        <v>6</v>
      </c>
      <c r="BK46">
        <v>3.9522188549189998</v>
      </c>
      <c r="BL46">
        <v>45</v>
      </c>
      <c r="BM46">
        <v>18</v>
      </c>
      <c r="BN46">
        <v>4.8761014548675803</v>
      </c>
      <c r="BO46">
        <v>31486.933113987499</v>
      </c>
      <c r="BP46" t="s">
        <v>345</v>
      </c>
      <c r="BQ46" t="str">
        <f>SUBSTITUTE(SUBSTITUTE(SUBSTITUTE(SUBSTITUTE(SUBSTITUTE(SUBSTITUTE(SUBSTITUTE(I46,"[",""),"]",""),"'",""),"M1-LOD-KS","לוד-כפרסבא (מטרו)"),"M1-KS-LOD","כפר סבא-לוד (מטרו)"),"M1-RA-RE","רעננה-רחובות (מטרו)"),"M1-RE-RA","רחובות-רעננה (מטרו)")</f>
        <v>מודיעין-באר שבע (רכבת פרברית), זיכרון יעקב-שוקת (רכבת פרברית), באר שבע-מודיעין (רכבת פרברית), וולפסון-סגולה (מטרו), סגולה-וולפסון (מטרו), שוקת-זיכרון יעקב (רכבת פרברית)</v>
      </c>
      <c r="BR46">
        <f>IF($AP46="ארצי",COUNTIFS($AP$2:$AP$143,"ארצי",$BK$2:$BK$143,"&gt;"&amp;$BK46)+1,COUNTIFS($AP$2:$AP$143,$AP46,$L$2:$L$143,$L46,$BK$2:$BK$143,"&gt;"&amp;$BK46)+1)</f>
        <v>10</v>
      </c>
    </row>
    <row r="47" spans="1:70" x14ac:dyDescent="0.25">
      <c r="A47">
        <v>58</v>
      </c>
      <c r="B47">
        <v>34.954210238784597</v>
      </c>
      <c r="C47">
        <v>32.485508350199403</v>
      </c>
      <c r="D47" t="s">
        <v>346</v>
      </c>
      <c r="E47" t="s">
        <v>347</v>
      </c>
      <c r="F47" t="s">
        <v>348</v>
      </c>
      <c r="G47" t="s">
        <v>349</v>
      </c>
      <c r="H47" t="s">
        <v>350</v>
      </c>
      <c r="I47" t="s">
        <v>351</v>
      </c>
      <c r="J47" t="s">
        <v>74</v>
      </c>
      <c r="K47" t="s">
        <v>94</v>
      </c>
      <c r="L47" t="s">
        <v>94</v>
      </c>
      <c r="M47" t="s">
        <v>352</v>
      </c>
      <c r="N47" t="s">
        <v>278</v>
      </c>
      <c r="O47">
        <v>42573.259075100003</v>
      </c>
      <c r="P47">
        <v>13596.407223099999</v>
      </c>
      <c r="Q47">
        <v>0.31936496097504902</v>
      </c>
      <c r="R47">
        <v>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4</v>
      </c>
      <c r="Z47">
        <v>941.78097348466702</v>
      </c>
      <c r="AA47">
        <v>595.13169749436202</v>
      </c>
      <c r="AB47">
        <v>1693.9517665179501</v>
      </c>
      <c r="AC47">
        <v>1055.0645474149101</v>
      </c>
      <c r="AD47">
        <v>1193.0608467733</v>
      </c>
      <c r="AE47">
        <v>721.47697069673404</v>
      </c>
      <c r="AF47">
        <v>3828.7935867759202</v>
      </c>
      <c r="AG47">
        <v>2371.6732156060102</v>
      </c>
      <c r="AH47">
        <v>1</v>
      </c>
      <c r="AI47">
        <v>1</v>
      </c>
      <c r="AJ47">
        <v>1</v>
      </c>
      <c r="AK47">
        <v>2</v>
      </c>
      <c r="AL47">
        <v>35.200000000000003</v>
      </c>
      <c r="AM47">
        <v>2</v>
      </c>
      <c r="AN47" t="s">
        <v>103</v>
      </c>
      <c r="AO47" t="b">
        <v>0</v>
      </c>
      <c r="AP47" t="s">
        <v>103</v>
      </c>
      <c r="AQ47">
        <v>2</v>
      </c>
      <c r="AR47">
        <v>4</v>
      </c>
      <c r="AS47">
        <v>1.6430386896356901</v>
      </c>
      <c r="AT47">
        <v>7</v>
      </c>
      <c r="AU47">
        <v>5.6644705904275101</v>
      </c>
      <c r="AV47">
        <v>1.0952036838917201</v>
      </c>
      <c r="AW47">
        <v>3.9408582976897599</v>
      </c>
      <c r="AX47">
        <v>46</v>
      </c>
      <c r="AY47">
        <v>19</v>
      </c>
      <c r="AZ47">
        <v>6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6</v>
      </c>
      <c r="BK47">
        <v>3.9408582976897599</v>
      </c>
      <c r="BL47">
        <v>46</v>
      </c>
      <c r="BM47">
        <v>19</v>
      </c>
      <c r="BN47">
        <v>4.6291368976320202</v>
      </c>
      <c r="BO47">
        <v>2663.09728983999</v>
      </c>
      <c r="BP47" t="s">
        <v>353</v>
      </c>
      <c r="BQ47" t="str">
        <f>SUBSTITUTE(SUBSTITUTE(SUBSTITUTE(SUBSTITUTE(SUBSTITUTE(SUBSTITUTE(SUBSTITUTE(I47,"[",""),"]",""),"'",""),"M1-LOD-KS","לוד-כפרסבא (מטרו)"),"M1-KS-LOD","כפר סבא-לוד (מטרו)"),"M1-RA-RE","רעננה-רחובות (מטרו)"),"M1-RE-RA","רחובות-רעננה (מטרו)")</f>
        <v>אשקלון-זיכרון יעקב (רכבת פרברית), זיכרון יעקב-שוקת (רכבת פרברית), שוקת-זיכרון יעקב (רכבת פרברית), זיכרון יעקב-אשקלון (רכבת פרברית), חדרה-אור עקיבא (BRT), אור עקיבא-חדרה (BRT)</v>
      </c>
      <c r="BR47">
        <f>IF($AP47="ארצי",COUNTIFS($AP$2:$AP$143,"ארצי",$BK$2:$BK$143,"&gt;"&amp;$BK47)+1,COUNTIFS($AP$2:$AP$143,$AP47,$L$2:$L$143,$L47,$BK$2:$BK$143,"&gt;"&amp;$BK47)+1)</f>
        <v>5</v>
      </c>
    </row>
    <row r="48" spans="1:70" x14ac:dyDescent="0.25">
      <c r="A48">
        <v>2</v>
      </c>
      <c r="B48">
        <v>35.002969699626597</v>
      </c>
      <c r="C48">
        <v>32.271786870442497</v>
      </c>
      <c r="D48" t="s">
        <v>354</v>
      </c>
      <c r="E48" t="s">
        <v>355</v>
      </c>
      <c r="F48" t="s">
        <v>127</v>
      </c>
      <c r="G48" t="s">
        <v>128</v>
      </c>
      <c r="H48" t="s">
        <v>144</v>
      </c>
      <c r="I48" t="s">
        <v>145</v>
      </c>
      <c r="J48" t="s">
        <v>74</v>
      </c>
      <c r="K48" t="s">
        <v>75</v>
      </c>
      <c r="L48" t="s">
        <v>75</v>
      </c>
      <c r="M48" t="s">
        <v>131</v>
      </c>
      <c r="N48" t="s">
        <v>132</v>
      </c>
      <c r="O48">
        <v>4286.3899999999903</v>
      </c>
      <c r="P48">
        <v>30.050159499999999</v>
      </c>
      <c r="Q48">
        <v>7.0105985456293003E-3</v>
      </c>
      <c r="R48">
        <v>1</v>
      </c>
      <c r="S48">
        <v>0</v>
      </c>
      <c r="T48">
        <v>0</v>
      </c>
      <c r="U48">
        <v>0</v>
      </c>
      <c r="V48">
        <v>0</v>
      </c>
      <c r="W48">
        <v>1</v>
      </c>
      <c r="X48">
        <v>0</v>
      </c>
      <c r="Y48">
        <v>0</v>
      </c>
      <c r="Z48">
        <v>9971.8324777321595</v>
      </c>
      <c r="AA48">
        <v>2077.9706057910198</v>
      </c>
      <c r="AB48">
        <v>14341.0226363194</v>
      </c>
      <c r="AC48">
        <v>3066.9104279446801</v>
      </c>
      <c r="AD48">
        <v>7413.4938057411</v>
      </c>
      <c r="AE48">
        <v>1730.94690677054</v>
      </c>
      <c r="AF48">
        <v>31726.348919792701</v>
      </c>
      <c r="AG48">
        <v>6875.8279405062603</v>
      </c>
      <c r="AH48">
        <v>0</v>
      </c>
      <c r="AI48">
        <v>2</v>
      </c>
      <c r="AJ48">
        <v>0</v>
      </c>
      <c r="AK48">
        <v>2</v>
      </c>
      <c r="AL48">
        <v>9.9</v>
      </c>
      <c r="AM48">
        <v>0</v>
      </c>
      <c r="AN48" t="s">
        <v>133</v>
      </c>
      <c r="AO48" t="b">
        <v>0</v>
      </c>
      <c r="AP48" t="s">
        <v>133</v>
      </c>
      <c r="AQ48">
        <v>0</v>
      </c>
      <c r="AR48">
        <v>1</v>
      </c>
      <c r="AS48">
        <v>1</v>
      </c>
      <c r="AT48">
        <v>1</v>
      </c>
      <c r="AU48">
        <v>4.2688498506888601</v>
      </c>
      <c r="AV48">
        <v>1.53693743349487</v>
      </c>
      <c r="AW48">
        <v>3.9314206118313701</v>
      </c>
      <c r="AX48">
        <v>47</v>
      </c>
      <c r="AY48">
        <v>11</v>
      </c>
      <c r="AZ48">
        <v>2</v>
      </c>
      <c r="BA48">
        <v>0</v>
      </c>
      <c r="BB48">
        <v>0</v>
      </c>
      <c r="BC48">
        <v>2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2</v>
      </c>
      <c r="BJ48">
        <v>2</v>
      </c>
      <c r="BK48">
        <v>3.9314206118313701</v>
      </c>
      <c r="BL48">
        <v>47</v>
      </c>
      <c r="BM48">
        <v>11</v>
      </c>
      <c r="BN48">
        <v>3.6320916830712702</v>
      </c>
      <c r="BO48">
        <v>11845.932136363501</v>
      </c>
      <c r="BP48" t="s">
        <v>356</v>
      </c>
      <c r="BQ48" t="str">
        <f>SUBSTITUTE(SUBSTITUTE(SUBSTITUTE(SUBSTITUTE(SUBSTITUTE(SUBSTITUTE(SUBSTITUTE(I48,"[",""),"]",""),"'",""),"M1-LOD-KS","לוד-כפרסבא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48">
        <f>IF($AP48="ארצי",COUNTIFS($AP$2:$AP$143,"ארצי",$BK$2:$BK$143,"&gt;"&amp;$BK48)+1,COUNTIFS($AP$2:$AP$143,$AP48,$L$2:$L$143,$L48,$BK$2:$BK$143,"&gt;"&amp;$BK48)+1)</f>
        <v>11</v>
      </c>
    </row>
    <row r="49" spans="1:70" x14ac:dyDescent="0.25">
      <c r="A49">
        <v>509</v>
      </c>
      <c r="B49">
        <v>35.173553262883303</v>
      </c>
      <c r="C49">
        <v>32.911343743594998</v>
      </c>
      <c r="D49" t="s">
        <v>357</v>
      </c>
      <c r="E49" t="s">
        <v>358</v>
      </c>
      <c r="F49" t="s">
        <v>98</v>
      </c>
      <c r="G49" t="s">
        <v>99</v>
      </c>
      <c r="H49" t="s">
        <v>359</v>
      </c>
      <c r="I49" t="s">
        <v>360</v>
      </c>
      <c r="J49" t="s">
        <v>74</v>
      </c>
      <c r="K49" t="s">
        <v>94</v>
      </c>
      <c r="L49" t="s">
        <v>94</v>
      </c>
      <c r="M49" t="s">
        <v>131</v>
      </c>
      <c r="N49" t="s">
        <v>132</v>
      </c>
      <c r="O49">
        <v>6941.0578968</v>
      </c>
      <c r="P49">
        <v>6194.7123875999996</v>
      </c>
      <c r="Q49">
        <v>0.89247381014584404</v>
      </c>
      <c r="R49">
        <v>0</v>
      </c>
      <c r="S49">
        <v>0</v>
      </c>
      <c r="T49">
        <v>0</v>
      </c>
      <c r="U49">
        <v>0</v>
      </c>
      <c r="V49">
        <v>3</v>
      </c>
      <c r="W49">
        <v>1</v>
      </c>
      <c r="X49">
        <v>0</v>
      </c>
      <c r="Y49">
        <v>3</v>
      </c>
      <c r="Z49">
        <v>563.54461398025501</v>
      </c>
      <c r="AA49">
        <v>172.05463460817001</v>
      </c>
      <c r="AB49">
        <v>945.78556590450899</v>
      </c>
      <c r="AC49">
        <v>369.41547757580099</v>
      </c>
      <c r="AD49">
        <v>678.23746628843901</v>
      </c>
      <c r="AE49">
        <v>375.23246810846098</v>
      </c>
      <c r="AF49">
        <v>2187.5676461732</v>
      </c>
      <c r="AG49">
        <v>916.702580292432</v>
      </c>
      <c r="AH49">
        <v>1</v>
      </c>
      <c r="AI49">
        <v>2</v>
      </c>
      <c r="AJ49">
        <v>2</v>
      </c>
      <c r="AK49">
        <v>3</v>
      </c>
      <c r="AL49">
        <v>52.8</v>
      </c>
      <c r="AM49">
        <v>2</v>
      </c>
      <c r="AN49" t="s">
        <v>103</v>
      </c>
      <c r="AO49" t="b">
        <v>0</v>
      </c>
      <c r="AP49" t="s">
        <v>103</v>
      </c>
      <c r="AQ49">
        <v>2</v>
      </c>
      <c r="AR49">
        <v>7</v>
      </c>
      <c r="AS49">
        <v>2.0903699519909602</v>
      </c>
      <c r="AT49">
        <v>7</v>
      </c>
      <c r="AU49">
        <v>1.6658162905870399</v>
      </c>
      <c r="AV49">
        <v>1.0234214188075501</v>
      </c>
      <c r="AW49">
        <v>3.89989099516476</v>
      </c>
      <c r="AX49">
        <v>48</v>
      </c>
      <c r="AY49">
        <v>20</v>
      </c>
      <c r="AZ49">
        <v>7</v>
      </c>
      <c r="BA49">
        <v>1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1</v>
      </c>
      <c r="BJ49">
        <v>7</v>
      </c>
      <c r="BK49">
        <v>3.89989099516476</v>
      </c>
      <c r="BL49">
        <v>48</v>
      </c>
      <c r="BM49">
        <v>20</v>
      </c>
      <c r="BN49">
        <v>3.8414256669575901</v>
      </c>
      <c r="BO49">
        <v>1170.8755934685801</v>
      </c>
      <c r="BP49" t="s">
        <v>361</v>
      </c>
      <c r="BQ49" t="str">
        <f>SUBSTITUTE(SUBSTITUTE(SUBSTITUTE(SUBSTITUTE(SUBSTITUTE(SUBSTITUTE(SUBSTITUTE(I49,"[",""),"]",""),"'",""),"M1-LOD-KS","לוד-כפרסבא (מטרו)"),"M1-KS-LOD","כפר סבא-לוד (מטרו)"),"M1-RA-RE","רעננה-רחובות (מטרו)"),"M1-RE-RA","רחובות-רעננה (מטרו)")</f>
        <v>אחיהוד-נצרת (רק"ל), אשקלון-כרמיאל (רכבת בינעירונית), כרמיאל-חיפה (רכבת פרברית), חיפה-כרמיאל (רכבת פרברית), מודיעין-קרית שמונה (רכבת בינעירונית), קרית שמונה-מודיעין (רכבת בינעירונית), כרמיאל-אשקלון (רכבת בינעירונית)</v>
      </c>
      <c r="BR49">
        <f>IF($AP49="ארצי",COUNTIFS($AP$2:$AP$143,"ארצי",$BK$2:$BK$143,"&gt;"&amp;$BK49)+1,COUNTIFS($AP$2:$AP$143,$AP49,$L$2:$L$143,$L49,$BK$2:$BK$143,"&gt;"&amp;$BK49)+1)</f>
        <v>6</v>
      </c>
    </row>
    <row r="50" spans="1:70" x14ac:dyDescent="0.25">
      <c r="A50">
        <v>196</v>
      </c>
      <c r="B50">
        <v>35.2949265754716</v>
      </c>
      <c r="C50">
        <v>32.621800460112603</v>
      </c>
      <c r="D50" t="s">
        <v>362</v>
      </c>
      <c r="E50" t="s">
        <v>363</v>
      </c>
      <c r="F50" t="s">
        <v>364</v>
      </c>
      <c r="G50" t="s">
        <v>365</v>
      </c>
      <c r="H50" t="s">
        <v>366</v>
      </c>
      <c r="I50" t="s">
        <v>367</v>
      </c>
      <c r="J50" t="s">
        <v>74</v>
      </c>
      <c r="K50" t="s">
        <v>368</v>
      </c>
      <c r="L50" t="s">
        <v>368</v>
      </c>
      <c r="M50" t="s">
        <v>369</v>
      </c>
      <c r="N50" t="s">
        <v>278</v>
      </c>
      <c r="O50">
        <v>9554.7795342000009</v>
      </c>
      <c r="P50">
        <v>7265.6722448999999</v>
      </c>
      <c r="Q50">
        <v>0.76042280398972395</v>
      </c>
      <c r="R50">
        <v>2.5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2.5</v>
      </c>
      <c r="Z50">
        <v>3575.01552075056</v>
      </c>
      <c r="AA50">
        <v>2332.9950427614699</v>
      </c>
      <c r="AB50">
        <v>4957.2755343717799</v>
      </c>
      <c r="AC50">
        <v>3206.3721828043999</v>
      </c>
      <c r="AD50">
        <v>3307.9339553014302</v>
      </c>
      <c r="AE50">
        <v>2136.9428685944899</v>
      </c>
      <c r="AF50">
        <v>11840.225010423699</v>
      </c>
      <c r="AG50">
        <v>7676.3100941603698</v>
      </c>
      <c r="AH50">
        <v>1</v>
      </c>
      <c r="AI50">
        <v>1</v>
      </c>
      <c r="AJ50">
        <v>1</v>
      </c>
      <c r="AK50">
        <v>2</v>
      </c>
      <c r="AL50">
        <v>27.5</v>
      </c>
      <c r="AM50">
        <v>3</v>
      </c>
      <c r="AN50" t="s">
        <v>103</v>
      </c>
      <c r="AO50" t="b">
        <v>0</v>
      </c>
      <c r="AP50" t="s">
        <v>103</v>
      </c>
      <c r="AQ50">
        <v>3</v>
      </c>
      <c r="AR50">
        <v>4</v>
      </c>
      <c r="AS50">
        <v>1.4473312623552601</v>
      </c>
      <c r="AT50">
        <v>10</v>
      </c>
      <c r="AU50">
        <v>2.37038062418676</v>
      </c>
      <c r="AV50">
        <v>1.37642116003815</v>
      </c>
      <c r="AW50">
        <v>3.8632626239136898</v>
      </c>
      <c r="AX50">
        <v>49</v>
      </c>
      <c r="AY50">
        <v>21</v>
      </c>
      <c r="AZ50">
        <v>5</v>
      </c>
      <c r="BA50">
        <v>1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1</v>
      </c>
      <c r="BJ50">
        <v>5</v>
      </c>
      <c r="BK50">
        <v>3.8632626239136898</v>
      </c>
      <c r="BL50">
        <v>49</v>
      </c>
      <c r="BM50">
        <v>21</v>
      </c>
      <c r="BN50">
        <v>3.9802206706495298</v>
      </c>
      <c r="BO50">
        <v>8509.0930774130502</v>
      </c>
      <c r="BP50" t="s">
        <v>370</v>
      </c>
      <c r="BQ50" t="str">
        <f>SUBSTITUTE(SUBSTITUTE(SUBSTITUTE(SUBSTITUTE(SUBSTITUTE(SUBSTITUTE(SUBSTITUTE(I50,"[",""),"]",""),"'",""),"M1-LOD-KS","לוד-כפרסבא (מטרו)"),"M1-KS-LOD","כפר סבא-לוד (מטרו)"),"M1-RA-RE","רעננה-רחובות (מטרו)"),"M1-RE-RA","רחובות-רעננה (מטרו)")</f>
        <v>הרצליה-בית שאן (רכבת פרברית), בית שאן-הרצליה (רכבת פרברית), טבריה-עתלית (רכבת פרברית), עתלית-טבריה (רכבת פרברית), עפולה-נצרת (BRT)</v>
      </c>
      <c r="BR50">
        <f>IF($AP50="ארצי",COUNTIFS($AP$2:$AP$143,"ארצי",$BK$2:$BK$143,"&gt;"&amp;$BK50)+1,COUNTIFS($AP$2:$AP$143,$AP50,$L$2:$L$143,$L50,$BK$2:$BK$143,"&gt;"&amp;$BK50)+1)</f>
        <v>1</v>
      </c>
    </row>
    <row r="51" spans="1:70" x14ac:dyDescent="0.25">
      <c r="A51">
        <v>379</v>
      </c>
      <c r="B51">
        <v>34.801447631295098</v>
      </c>
      <c r="C51">
        <v>31.964223449178199</v>
      </c>
      <c r="D51" t="s">
        <v>371</v>
      </c>
      <c r="E51" t="s">
        <v>372</v>
      </c>
      <c r="F51" t="s">
        <v>373</v>
      </c>
      <c r="G51" t="s">
        <v>374</v>
      </c>
      <c r="H51" t="s">
        <v>375</v>
      </c>
      <c r="I51" t="s">
        <v>376</v>
      </c>
      <c r="J51" t="s">
        <v>74</v>
      </c>
      <c r="K51" t="s">
        <v>75</v>
      </c>
      <c r="L51" t="s">
        <v>75</v>
      </c>
      <c r="M51" t="s">
        <v>216</v>
      </c>
      <c r="N51" t="s">
        <v>132</v>
      </c>
      <c r="O51">
        <v>190782.39</v>
      </c>
      <c r="P51">
        <v>148584.22</v>
      </c>
      <c r="Q51">
        <v>0.77881517261629796</v>
      </c>
      <c r="R51">
        <v>6</v>
      </c>
      <c r="S51">
        <v>0</v>
      </c>
      <c r="T51">
        <v>0</v>
      </c>
      <c r="U51">
        <v>0</v>
      </c>
      <c r="V51">
        <v>0</v>
      </c>
      <c r="W51">
        <v>6</v>
      </c>
      <c r="X51">
        <v>2</v>
      </c>
      <c r="Y51">
        <v>0</v>
      </c>
      <c r="Z51">
        <v>24724.223723914001</v>
      </c>
      <c r="AA51">
        <v>11903.0520350364</v>
      </c>
      <c r="AB51">
        <v>35284.5695721515</v>
      </c>
      <c r="AC51">
        <v>13798.209052456201</v>
      </c>
      <c r="AD51">
        <v>21544.302853433499</v>
      </c>
      <c r="AE51">
        <v>7374.7746384340999</v>
      </c>
      <c r="AF51">
        <v>81553.096149499004</v>
      </c>
      <c r="AG51">
        <v>33076.035725926697</v>
      </c>
      <c r="AH51">
        <v>0</v>
      </c>
      <c r="AI51">
        <v>2</v>
      </c>
      <c r="AJ51">
        <v>0</v>
      </c>
      <c r="AK51">
        <v>3</v>
      </c>
      <c r="AL51">
        <v>79.2</v>
      </c>
      <c r="AM51">
        <v>0</v>
      </c>
      <c r="AN51" t="s">
        <v>103</v>
      </c>
      <c r="AO51" t="b">
        <v>0</v>
      </c>
      <c r="AP51" t="s">
        <v>103</v>
      </c>
      <c r="AQ51">
        <v>0</v>
      </c>
      <c r="AR51">
        <v>1</v>
      </c>
      <c r="AS51">
        <v>2.76136684552386</v>
      </c>
      <c r="AT51">
        <v>1</v>
      </c>
      <c r="AU51">
        <v>8.9711759632692907</v>
      </c>
      <c r="AV51">
        <v>3.0245874049392998</v>
      </c>
      <c r="AW51">
        <v>3.6928922365376802</v>
      </c>
      <c r="AX51">
        <v>50</v>
      </c>
      <c r="AY51">
        <v>22</v>
      </c>
      <c r="AZ51">
        <v>14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6</v>
      </c>
      <c r="BG51">
        <v>0</v>
      </c>
      <c r="BH51">
        <v>0</v>
      </c>
      <c r="BI51">
        <v>6</v>
      </c>
      <c r="BJ51">
        <v>14</v>
      </c>
      <c r="BK51">
        <v>3.6928922365376802</v>
      </c>
      <c r="BL51">
        <v>50</v>
      </c>
      <c r="BM51">
        <v>22</v>
      </c>
      <c r="BN51">
        <v>5.2805382850495004</v>
      </c>
      <c r="BO51">
        <v>42771.447810641199</v>
      </c>
      <c r="BP51" t="s">
        <v>377</v>
      </c>
      <c r="BQ51" t="str">
        <f>SUBSTITUTE(SUBSTITUTE(SUBSTITUTE(SUBSTITUTE(SUBSTITUTE(SUBSTITUTE(SUBSTITUTE(I51,"[",""),"]",""),"'",""),"M1-LOD-KS","לוד-כפרסבא (מטרו)"),"M1-KS-LOD","כפר סבא-לוד (מטרו)"),"M1-RA-RE","רעננה-רחובות (מטרו)"),"M1-RE-RA","רחובות-רעננה (מטרו)")</f>
        <v>רעננה-רחובות (מטרו), רחובות-רעננה (מטרו), אסף הרופא-חוף ראשל"צ (רק"ל), אסף הרופא-מתחם ה-1000 (רק"ל), תחנה מרכזית ראשל"צ-לוד (BRT), לוד-תחנה מרכזית ראשל"צ (BRT), מתחם ה-1000-אסף הרופא (רק"ל), חוף ראשל"צ-אסף הרופא (רק"ל)</v>
      </c>
      <c r="BR51">
        <f>IF($AP51="ארצי",COUNTIFS($AP$2:$AP$143,"ארצי",$BK$2:$BK$143,"&gt;"&amp;$BK51)+1,COUNTIFS($AP$2:$AP$143,$AP51,$L$2:$L$143,$L51,$BK$2:$BK$143,"&gt;"&amp;$BK51)+1)</f>
        <v>11</v>
      </c>
    </row>
    <row r="52" spans="1:70" x14ac:dyDescent="0.25">
      <c r="A52">
        <v>10</v>
      </c>
      <c r="B52">
        <v>34.938099444583301</v>
      </c>
      <c r="C52">
        <v>32.320532298844697</v>
      </c>
      <c r="D52" t="s">
        <v>378</v>
      </c>
      <c r="E52" t="s">
        <v>379</v>
      </c>
      <c r="F52" t="s">
        <v>127</v>
      </c>
      <c r="G52" t="s">
        <v>128</v>
      </c>
      <c r="H52" t="s">
        <v>144</v>
      </c>
      <c r="I52" t="s">
        <v>145</v>
      </c>
      <c r="J52" t="s">
        <v>74</v>
      </c>
      <c r="K52" t="s">
        <v>75</v>
      </c>
      <c r="L52" t="s">
        <v>75</v>
      </c>
      <c r="M52" t="s">
        <v>131</v>
      </c>
      <c r="N52" t="s">
        <v>132</v>
      </c>
      <c r="O52">
        <v>9170.82</v>
      </c>
      <c r="P52">
        <v>4.7199999999999998E-4</v>
      </c>
      <c r="Q52" s="1">
        <v>5.1467589593951202E-8</v>
      </c>
      <c r="R52">
        <v>1</v>
      </c>
      <c r="S52">
        <v>0</v>
      </c>
      <c r="T52">
        <v>0</v>
      </c>
      <c r="U52">
        <v>0</v>
      </c>
      <c r="V52">
        <v>0</v>
      </c>
      <c r="W52">
        <v>1</v>
      </c>
      <c r="X52">
        <v>0</v>
      </c>
      <c r="Y52">
        <v>0</v>
      </c>
      <c r="Z52">
        <v>4528.3521898871904</v>
      </c>
      <c r="AA52">
        <v>2030.1434543983601</v>
      </c>
      <c r="AB52">
        <v>6870.3072462976997</v>
      </c>
      <c r="AC52">
        <v>2978.1126138126901</v>
      </c>
      <c r="AD52">
        <v>4539.4543396498402</v>
      </c>
      <c r="AE52">
        <v>1963.26201142942</v>
      </c>
      <c r="AF52">
        <v>15938.113775834699</v>
      </c>
      <c r="AG52">
        <v>6971.5180796404802</v>
      </c>
      <c r="AH52">
        <v>0</v>
      </c>
      <c r="AI52">
        <v>2</v>
      </c>
      <c r="AJ52">
        <v>0</v>
      </c>
      <c r="AK52">
        <v>2</v>
      </c>
      <c r="AL52">
        <v>9.9</v>
      </c>
      <c r="AM52">
        <v>0</v>
      </c>
      <c r="AN52" t="s">
        <v>133</v>
      </c>
      <c r="AO52" t="b">
        <v>0</v>
      </c>
      <c r="AP52" t="s">
        <v>133</v>
      </c>
      <c r="AQ52">
        <v>0</v>
      </c>
      <c r="AR52">
        <v>1</v>
      </c>
      <c r="AS52">
        <v>1</v>
      </c>
      <c r="AT52">
        <v>1</v>
      </c>
      <c r="AU52">
        <v>6.2903962483377898</v>
      </c>
      <c r="AV52">
        <v>1.3887235503606401</v>
      </c>
      <c r="AW52">
        <v>3.5928649284601399</v>
      </c>
      <c r="AX52">
        <v>51</v>
      </c>
      <c r="AY52">
        <v>12</v>
      </c>
      <c r="AZ52">
        <v>2</v>
      </c>
      <c r="BA52">
        <v>0</v>
      </c>
      <c r="BB52">
        <v>0</v>
      </c>
      <c r="BC52">
        <v>2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2</v>
      </c>
      <c r="BJ52">
        <v>2</v>
      </c>
      <c r="BK52">
        <v>3.5928649284601399</v>
      </c>
      <c r="BL52">
        <v>51</v>
      </c>
      <c r="BM52">
        <v>12</v>
      </c>
      <c r="BN52">
        <v>3.9624081694272202</v>
      </c>
      <c r="BO52">
        <v>8764.8372188793292</v>
      </c>
      <c r="BP52" t="s">
        <v>380</v>
      </c>
      <c r="BQ52" t="str">
        <f>SUBSTITUTE(SUBSTITUTE(SUBSTITUTE(SUBSTITUTE(SUBSTITUTE(SUBSTITUTE(SUBSTITUTE(I52,"[",""),"]",""),"'",""),"M1-LOD-KS","לוד-כפרסבא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52">
        <f>IF($AP52="ארצי",COUNTIFS($AP$2:$AP$143,"ארצי",$BK$2:$BK$143,"&gt;"&amp;$BK52)+1,COUNTIFS($AP$2:$AP$143,$AP52,$L$2:$L$143,$L52,$BK$2:$BK$143,"&gt;"&amp;$BK52)+1)</f>
        <v>12</v>
      </c>
    </row>
    <row r="53" spans="1:70" x14ac:dyDescent="0.25">
      <c r="A53">
        <v>638</v>
      </c>
      <c r="B53">
        <v>34.763098205637597</v>
      </c>
      <c r="C53">
        <v>32.014320281479698</v>
      </c>
      <c r="D53" t="s">
        <v>381</v>
      </c>
      <c r="E53" t="s">
        <v>382</v>
      </c>
      <c r="F53" t="s">
        <v>383</v>
      </c>
      <c r="G53" t="s">
        <v>384</v>
      </c>
      <c r="H53" t="s">
        <v>385</v>
      </c>
      <c r="I53" t="s">
        <v>386</v>
      </c>
      <c r="J53" t="s">
        <v>74</v>
      </c>
      <c r="K53" t="s">
        <v>75</v>
      </c>
      <c r="L53" t="s">
        <v>75</v>
      </c>
      <c r="M53" t="s">
        <v>139</v>
      </c>
      <c r="N53" t="s">
        <v>132</v>
      </c>
      <c r="O53">
        <v>247939.7</v>
      </c>
      <c r="P53">
        <v>201506.96</v>
      </c>
      <c r="Q53">
        <v>0.81272567483142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6</v>
      </c>
      <c r="Y53">
        <v>4</v>
      </c>
      <c r="Z53">
        <v>28332.931379502301</v>
      </c>
      <c r="AA53">
        <v>6177.6849457439203</v>
      </c>
      <c r="AB53">
        <v>50595.6475492834</v>
      </c>
      <c r="AC53">
        <v>11545.081621989701</v>
      </c>
      <c r="AD53">
        <v>33084.921568972597</v>
      </c>
      <c r="AE53">
        <v>7736.6781800191702</v>
      </c>
      <c r="AF53">
        <v>112013.500497758</v>
      </c>
      <c r="AG53">
        <v>25459.444747752801</v>
      </c>
      <c r="AH53">
        <v>0</v>
      </c>
      <c r="AI53">
        <v>2</v>
      </c>
      <c r="AJ53">
        <v>0</v>
      </c>
      <c r="AK53">
        <v>2</v>
      </c>
      <c r="AL53">
        <v>66</v>
      </c>
      <c r="AM53">
        <v>0</v>
      </c>
      <c r="AN53" t="s">
        <v>103</v>
      </c>
      <c r="AO53" t="b">
        <v>0</v>
      </c>
      <c r="AP53" t="s">
        <v>103</v>
      </c>
      <c r="AQ53">
        <v>0</v>
      </c>
      <c r="AR53">
        <v>1</v>
      </c>
      <c r="AS53">
        <v>2.4258683987574101</v>
      </c>
      <c r="AT53">
        <v>1</v>
      </c>
      <c r="AU53">
        <v>9.5488978192781797</v>
      </c>
      <c r="AV53">
        <v>3.02453006881623</v>
      </c>
      <c r="AW53">
        <v>3.5927268623000899</v>
      </c>
      <c r="AX53">
        <v>52</v>
      </c>
      <c r="AY53">
        <v>23</v>
      </c>
      <c r="AZ53">
        <v>10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2</v>
      </c>
      <c r="BG53">
        <v>0</v>
      </c>
      <c r="BH53">
        <v>0</v>
      </c>
      <c r="BI53">
        <v>2</v>
      </c>
      <c r="BJ53">
        <v>10</v>
      </c>
      <c r="BK53">
        <v>3.5927268623000899</v>
      </c>
      <c r="BL53">
        <v>52</v>
      </c>
      <c r="BM53">
        <v>23</v>
      </c>
      <c r="BN53">
        <v>5.3943460713846303</v>
      </c>
      <c r="BO53">
        <v>42770.255897753901</v>
      </c>
      <c r="BP53" t="s">
        <v>387</v>
      </c>
      <c r="BQ53" t="str">
        <f>SUBSTITUTE(SUBSTITUTE(SUBSTITUTE(SUBSTITUTE(SUBSTITUTE(SUBSTITUTE(SUBSTITUTE(I53,"[",""),"]",""),"'",""),"M1-LOD-KS","לוד-כפרסבא (מטרו)"),"M1-KS-LOD","כפר סבא-לוד (מטרו)"),"M1-RA-RE","רעננה-רחובות (מטרו)"),"M1-RE-RA","רחובות-רעננה (מטרו)")</f>
        <v>מודיעין-באר שבע (רכבת פרברית), זיכרון יעקב-שוקת (רכבת פרברית), באר שבע-מודיעין (רכבת פרברית), שוקת-זיכרון יעקב (רכבת פרברית), רעננה-רחובות (מטרו), רחובות-רעננה (מטרו), כפר סבא-לוד (מטרו), לוד-כפרסבא (מטרו), הרצליה-בת ים (מטרו), בת ים-הרצליה (מטרו)</v>
      </c>
      <c r="BR53">
        <f>IF($AP53="ארצי",COUNTIFS($AP$2:$AP$143,"ארצי",$BK$2:$BK$143,"&gt;"&amp;$BK53)+1,COUNTIFS($AP$2:$AP$143,$AP53,$L$2:$L$143,$L53,$BK$2:$BK$143,"&gt;"&amp;$BK53)+1)</f>
        <v>12</v>
      </c>
    </row>
    <row r="54" spans="1:70" x14ac:dyDescent="0.25">
      <c r="A54">
        <v>68</v>
      </c>
      <c r="B54">
        <v>34.899104434525498</v>
      </c>
      <c r="C54">
        <v>32.438206619943301</v>
      </c>
      <c r="D54" t="s">
        <v>388</v>
      </c>
      <c r="E54" t="s">
        <v>389</v>
      </c>
      <c r="F54" t="s">
        <v>390</v>
      </c>
      <c r="G54" t="s">
        <v>391</v>
      </c>
      <c r="H54" t="s">
        <v>392</v>
      </c>
      <c r="I54" t="s">
        <v>393</v>
      </c>
      <c r="J54" t="s">
        <v>74</v>
      </c>
      <c r="K54" t="s">
        <v>94</v>
      </c>
      <c r="L54" t="s">
        <v>94</v>
      </c>
      <c r="M54" t="s">
        <v>352</v>
      </c>
      <c r="N54" t="s">
        <v>278</v>
      </c>
      <c r="O54">
        <v>175365.358771</v>
      </c>
      <c r="P54">
        <v>15853.479551</v>
      </c>
      <c r="Q54">
        <v>9.0402572447060001E-2</v>
      </c>
      <c r="R54">
        <v>2</v>
      </c>
      <c r="S54">
        <v>0</v>
      </c>
      <c r="T54">
        <v>0</v>
      </c>
      <c r="U54">
        <v>0</v>
      </c>
      <c r="V54">
        <v>3</v>
      </c>
      <c r="W54">
        <v>0</v>
      </c>
      <c r="X54">
        <v>0</v>
      </c>
      <c r="Y54">
        <v>3</v>
      </c>
      <c r="Z54">
        <v>3782.6608012646102</v>
      </c>
      <c r="AA54">
        <v>989.82785969550696</v>
      </c>
      <c r="AB54">
        <v>7007.65398523159</v>
      </c>
      <c r="AC54">
        <v>2235.5267646449101</v>
      </c>
      <c r="AD54">
        <v>5541.9529823776402</v>
      </c>
      <c r="AE54">
        <v>2885.5780586422502</v>
      </c>
      <c r="AF54">
        <v>16332.2677688738</v>
      </c>
      <c r="AG54">
        <v>6110.9326829826696</v>
      </c>
      <c r="AH54">
        <v>1</v>
      </c>
      <c r="AI54">
        <v>1</v>
      </c>
      <c r="AJ54">
        <v>1</v>
      </c>
      <c r="AK54">
        <v>3</v>
      </c>
      <c r="AL54">
        <v>56.4</v>
      </c>
      <c r="AM54">
        <v>2</v>
      </c>
      <c r="AN54" t="s">
        <v>78</v>
      </c>
      <c r="AO54" t="b">
        <v>0</v>
      </c>
      <c r="AP54" t="s">
        <v>78</v>
      </c>
      <c r="AQ54">
        <v>2</v>
      </c>
      <c r="AR54">
        <v>4</v>
      </c>
      <c r="AS54">
        <v>2.1818695283818101</v>
      </c>
      <c r="AT54">
        <v>7</v>
      </c>
      <c r="AU54">
        <v>4.8185149098018796</v>
      </c>
      <c r="AV54">
        <v>1.3593973704235001</v>
      </c>
      <c r="AW54">
        <v>3.5524677173660799</v>
      </c>
      <c r="AX54">
        <v>53</v>
      </c>
      <c r="AY54">
        <v>10</v>
      </c>
      <c r="AZ54">
        <v>8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8</v>
      </c>
      <c r="BK54">
        <v>3.5524677173660799</v>
      </c>
      <c r="BL54">
        <v>53</v>
      </c>
      <c r="BM54">
        <v>10</v>
      </c>
      <c r="BN54">
        <v>5.2439438080697602</v>
      </c>
      <c r="BO54">
        <v>8155.1997001609097</v>
      </c>
      <c r="BP54" t="s">
        <v>394</v>
      </c>
      <c r="BQ54" t="str">
        <f>SUBSTITUTE(SUBSTITUTE(SUBSTITUTE(SUBSTITUTE(SUBSTITUTE(SUBSTITUTE(SUBSTITUTE(I54,"[",""),"]",""),"'",""),"M1-LOD-KS","לוד-כפרסבא (מטרו)"),"M1-KS-LOD","כפר סבא-לוד (מטרו)"),"M1-RA-RE","רעננה-רחובות (מטרו)"),"M1-RE-RA","רחובות-רעננה (מטרו)")</f>
        <v>חדרה-אור עקיבא (BRT), חדרה-באקה אל גרבייה (BRT), זיכרון יעקב-אשקלון (רכבת פרברית), זיכרון יעקב-שוקת (רכבת פרברית), מודיעין-קרית שמונה (רכבת בינעירונית), קרית שמונה-מודיעין (רכבת בינעירונית), שוקת-זיכרון יעקב (רכבת פרברית), אשקלון-זיכרון יעקב (רכבת פרברית)</v>
      </c>
      <c r="BR54">
        <f>IF($AP54="ארצי",COUNTIFS($AP$2:$AP$143,"ארצי",$BK$2:$BK$143,"&gt;"&amp;$BK54)+1,COUNTIFS($AP$2:$AP$143,$AP54,$L$2:$L$143,$L54,$BK$2:$BK$143,"&gt;"&amp;$BK54)+1)</f>
        <v>10</v>
      </c>
    </row>
    <row r="55" spans="1:70" x14ac:dyDescent="0.25">
      <c r="A55">
        <v>113</v>
      </c>
      <c r="B55">
        <v>34.948899020212302</v>
      </c>
      <c r="C55">
        <v>32.230239787635902</v>
      </c>
      <c r="D55" t="s">
        <v>395</v>
      </c>
      <c r="E55" t="s">
        <v>396</v>
      </c>
      <c r="F55" t="s">
        <v>127</v>
      </c>
      <c r="G55" t="s">
        <v>128</v>
      </c>
      <c r="H55" t="s">
        <v>144</v>
      </c>
      <c r="I55" t="s">
        <v>145</v>
      </c>
      <c r="J55" t="s">
        <v>74</v>
      </c>
      <c r="K55" t="s">
        <v>75</v>
      </c>
      <c r="L55" t="s">
        <v>75</v>
      </c>
      <c r="M55" t="s">
        <v>131</v>
      </c>
      <c r="N55" t="s">
        <v>132</v>
      </c>
      <c r="O55">
        <v>4421.8</v>
      </c>
      <c r="P55">
        <v>652.07999999999902</v>
      </c>
      <c r="Q55">
        <v>0.14746935637070799</v>
      </c>
      <c r="R55">
        <v>1</v>
      </c>
      <c r="S55">
        <v>0</v>
      </c>
      <c r="T55">
        <v>0</v>
      </c>
      <c r="U55">
        <v>0</v>
      </c>
      <c r="V55">
        <v>0</v>
      </c>
      <c r="W55">
        <v>1</v>
      </c>
      <c r="X55">
        <v>0</v>
      </c>
      <c r="Y55">
        <v>0</v>
      </c>
      <c r="Z55">
        <v>7550.4750436246804</v>
      </c>
      <c r="AA55">
        <v>1278.5617281654199</v>
      </c>
      <c r="AB55">
        <v>8454.2563220234097</v>
      </c>
      <c r="AC55">
        <v>1470.03820575758</v>
      </c>
      <c r="AD55">
        <v>4604.0271144837498</v>
      </c>
      <c r="AE55">
        <v>819.06525484839904</v>
      </c>
      <c r="AF55">
        <v>20608.758480131801</v>
      </c>
      <c r="AG55">
        <v>3567.6651887714002</v>
      </c>
      <c r="AH55">
        <v>0</v>
      </c>
      <c r="AI55">
        <v>2</v>
      </c>
      <c r="AJ55">
        <v>0</v>
      </c>
      <c r="AK55">
        <v>2</v>
      </c>
      <c r="AL55">
        <v>9.9</v>
      </c>
      <c r="AM55">
        <v>0</v>
      </c>
      <c r="AN55" t="s">
        <v>133</v>
      </c>
      <c r="AO55" t="b">
        <v>0</v>
      </c>
      <c r="AP55" t="s">
        <v>133</v>
      </c>
      <c r="AQ55">
        <v>0</v>
      </c>
      <c r="AR55">
        <v>1</v>
      </c>
      <c r="AS55">
        <v>1</v>
      </c>
      <c r="AT55">
        <v>1</v>
      </c>
      <c r="AU55">
        <v>4.3515156023738699</v>
      </c>
      <c r="AV55">
        <v>1.30266721873606</v>
      </c>
      <c r="AW55">
        <v>3.5218626541964002</v>
      </c>
      <c r="AX55">
        <v>54</v>
      </c>
      <c r="AY55">
        <v>13</v>
      </c>
      <c r="AZ55">
        <v>2</v>
      </c>
      <c r="BA55">
        <v>0</v>
      </c>
      <c r="BB55">
        <v>0</v>
      </c>
      <c r="BC55">
        <v>2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2</v>
      </c>
      <c r="BJ55">
        <v>2</v>
      </c>
      <c r="BK55">
        <v>3.5218626541964002</v>
      </c>
      <c r="BL55">
        <v>54</v>
      </c>
      <c r="BM55">
        <v>13</v>
      </c>
      <c r="BN55">
        <v>3.64559909535244</v>
      </c>
      <c r="BO55">
        <v>6975.8838470434903</v>
      </c>
      <c r="BP55" t="s">
        <v>397</v>
      </c>
      <c r="BQ55" t="str">
        <f>SUBSTITUTE(SUBSTITUTE(SUBSTITUTE(SUBSTITUTE(SUBSTITUTE(SUBSTITUTE(SUBSTITUTE(I55,"[",""),"]",""),"'",""),"M1-LOD-KS","לוד-כפרסבא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55">
        <f>IF($AP55="ארצי",COUNTIFS($AP$2:$AP$143,"ארצי",$BK$2:$BK$143,"&gt;"&amp;$BK55)+1,COUNTIFS($AP$2:$AP$143,$AP55,$L$2:$L$143,$L55,$BK$2:$BK$143,"&gt;"&amp;$BK55)+1)</f>
        <v>13</v>
      </c>
    </row>
    <row r="56" spans="1:70" x14ac:dyDescent="0.25">
      <c r="A56">
        <v>306</v>
      </c>
      <c r="B56">
        <v>34.8043126191968</v>
      </c>
      <c r="C56">
        <v>31.908496787300098</v>
      </c>
      <c r="D56" t="s">
        <v>398</v>
      </c>
      <c r="E56" t="s">
        <v>399</v>
      </c>
      <c r="F56" t="s">
        <v>260</v>
      </c>
      <c r="G56" t="s">
        <v>261</v>
      </c>
      <c r="H56" t="s">
        <v>400</v>
      </c>
      <c r="I56" t="s">
        <v>401</v>
      </c>
      <c r="J56" t="s">
        <v>74</v>
      </c>
      <c r="K56" t="s">
        <v>75</v>
      </c>
      <c r="L56" t="s">
        <v>75</v>
      </c>
      <c r="M56" t="s">
        <v>216</v>
      </c>
      <c r="N56" t="s">
        <v>132</v>
      </c>
      <c r="O56">
        <v>148735.32</v>
      </c>
      <c r="P56">
        <v>109641.83</v>
      </c>
      <c r="Q56">
        <v>0.73716068247945399</v>
      </c>
      <c r="R56">
        <v>0</v>
      </c>
      <c r="S56">
        <v>0</v>
      </c>
      <c r="T56">
        <v>0</v>
      </c>
      <c r="U56">
        <v>0</v>
      </c>
      <c r="V56">
        <v>3</v>
      </c>
      <c r="W56">
        <v>6</v>
      </c>
      <c r="X56">
        <v>2</v>
      </c>
      <c r="Y56">
        <v>3</v>
      </c>
      <c r="Z56">
        <v>3411.62352002943</v>
      </c>
      <c r="AA56">
        <v>14740.815536402601</v>
      </c>
      <c r="AB56">
        <v>11465.3546876495</v>
      </c>
      <c r="AC56">
        <v>19371.649739055702</v>
      </c>
      <c r="AD56">
        <v>8435.7912219091595</v>
      </c>
      <c r="AE56">
        <v>10485.2206102278</v>
      </c>
      <c r="AF56">
        <v>23312.769429588101</v>
      </c>
      <c r="AG56">
        <v>44597.685885686202</v>
      </c>
      <c r="AH56">
        <v>0</v>
      </c>
      <c r="AI56">
        <v>2</v>
      </c>
      <c r="AJ56">
        <v>0</v>
      </c>
      <c r="AK56">
        <v>4</v>
      </c>
      <c r="AL56">
        <v>105.3</v>
      </c>
      <c r="AM56">
        <v>2</v>
      </c>
      <c r="AN56" t="s">
        <v>78</v>
      </c>
      <c r="AO56" t="b">
        <v>0</v>
      </c>
      <c r="AP56" t="s">
        <v>78</v>
      </c>
      <c r="AQ56">
        <v>2</v>
      </c>
      <c r="AR56">
        <v>1</v>
      </c>
      <c r="AS56">
        <v>3.4247387743575199</v>
      </c>
      <c r="AT56">
        <v>7</v>
      </c>
      <c r="AU56">
        <v>4.2499788067497501</v>
      </c>
      <c r="AV56">
        <v>2.9076581323762301</v>
      </c>
      <c r="AW56">
        <v>3.5128165040063801</v>
      </c>
      <c r="AX56">
        <v>55</v>
      </c>
      <c r="AY56">
        <v>11</v>
      </c>
      <c r="AZ56">
        <v>14</v>
      </c>
      <c r="BA56">
        <v>1</v>
      </c>
      <c r="BB56">
        <v>0</v>
      </c>
      <c r="BC56">
        <v>3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4</v>
      </c>
      <c r="BJ56">
        <v>14</v>
      </c>
      <c r="BK56">
        <v>3.5128165040063801</v>
      </c>
      <c r="BL56">
        <v>55</v>
      </c>
      <c r="BM56">
        <v>11</v>
      </c>
      <c r="BN56">
        <v>5.1724141121645602</v>
      </c>
      <c r="BO56">
        <v>40340.702594466602</v>
      </c>
      <c r="BP56" t="s">
        <v>402</v>
      </c>
      <c r="BQ56" t="str">
        <f>SUBSTITUTE(SUBSTITUTE(SUBSTITUTE(SUBSTITUTE(SUBSTITUTE(SUBSTITUTE(SUBSTITUTE(I56,"[",""),"]",""),"'",""),"M1-LOD-KS","לוד-כפרסבא (מטרו)"),"M1-KS-LOD","כפר סבא-לוד (מטרו)"),"M1-RA-RE","רעננה-רחובות (מטרו)"),"M1-RE-RA","רחובות-רעננה (מטרו)")</f>
        <v>רחובות-יבנה מזרח (רק"ל), יבנה מזרח-רחובות (רק"ל), יבנה מערב-רחובות (רק"ל), זיכרון יעקב-אשקלון (רכבת פרברית), מודיעין-אשדוד (רכבת פרברית), אשקלון-כרמיאל (רכבת בינעירונית), אשדוד-מודיעין (רכבת פרברית), כרמיאל-אשקלון (רכבת בינעירונית), אשקלון-זיכרון יעקב (רכבת פרברית), רחובות-אשדוד (דרך הנמל) (רק"ל), רעננה-רחובות (מטרו), רחובות-רעננה (מטרו)</v>
      </c>
      <c r="BR56">
        <f>IF($AP56="ארצי",COUNTIFS($AP$2:$AP$143,"ארצי",$BK$2:$BK$143,"&gt;"&amp;$BK56)+1,COUNTIFS($AP$2:$AP$143,$AP56,$L$2:$L$143,$L56,$BK$2:$BK$143,"&gt;"&amp;$BK56)+1)</f>
        <v>11</v>
      </c>
    </row>
    <row r="57" spans="1:70" x14ac:dyDescent="0.25">
      <c r="A57">
        <v>3</v>
      </c>
      <c r="B57">
        <v>34.998462229508299</v>
      </c>
      <c r="C57">
        <v>32.261408673611903</v>
      </c>
      <c r="D57" t="s">
        <v>403</v>
      </c>
      <c r="E57" t="s">
        <v>404</v>
      </c>
      <c r="F57" t="s">
        <v>127</v>
      </c>
      <c r="G57" t="s">
        <v>128</v>
      </c>
      <c r="H57" t="s">
        <v>144</v>
      </c>
      <c r="I57" t="s">
        <v>145</v>
      </c>
      <c r="J57" t="s">
        <v>74</v>
      </c>
      <c r="K57" t="s">
        <v>75</v>
      </c>
      <c r="L57" t="s">
        <v>75</v>
      </c>
      <c r="M57" t="s">
        <v>131</v>
      </c>
      <c r="N57" t="s">
        <v>132</v>
      </c>
      <c r="O57">
        <v>3693.98</v>
      </c>
      <c r="P57">
        <v>1182.5999999999999</v>
      </c>
      <c r="Q57">
        <v>0.320142502125079</v>
      </c>
      <c r="R57">
        <v>1</v>
      </c>
      <c r="S57">
        <v>0</v>
      </c>
      <c r="T57">
        <v>0</v>
      </c>
      <c r="U57">
        <v>0</v>
      </c>
      <c r="V57">
        <v>0</v>
      </c>
      <c r="W57">
        <v>1</v>
      </c>
      <c r="X57">
        <v>0</v>
      </c>
      <c r="Y57">
        <v>0</v>
      </c>
      <c r="Z57">
        <v>7485.3568624783802</v>
      </c>
      <c r="AA57">
        <v>1906.7027692546401</v>
      </c>
      <c r="AB57">
        <v>10487.460927070801</v>
      </c>
      <c r="AC57">
        <v>2812.8688283329702</v>
      </c>
      <c r="AD57">
        <v>6004.05871081838</v>
      </c>
      <c r="AE57">
        <v>1655.04704931371</v>
      </c>
      <c r="AF57">
        <v>23976.876500367602</v>
      </c>
      <c r="AG57">
        <v>6374.6186469013301</v>
      </c>
      <c r="AH57">
        <v>0</v>
      </c>
      <c r="AI57">
        <v>2</v>
      </c>
      <c r="AJ57">
        <v>0</v>
      </c>
      <c r="AK57">
        <v>2</v>
      </c>
      <c r="AL57">
        <v>9.9</v>
      </c>
      <c r="AM57">
        <v>0</v>
      </c>
      <c r="AN57" t="s">
        <v>133</v>
      </c>
      <c r="AO57" t="b">
        <v>0</v>
      </c>
      <c r="AP57" t="s">
        <v>133</v>
      </c>
      <c r="AQ57">
        <v>0</v>
      </c>
      <c r="AR57">
        <v>1</v>
      </c>
      <c r="AS57">
        <v>1</v>
      </c>
      <c r="AT57">
        <v>1</v>
      </c>
      <c r="AU57">
        <v>3.8735134754870599</v>
      </c>
      <c r="AV57">
        <v>1.44309260619058</v>
      </c>
      <c r="AW57">
        <v>3.49819057621727</v>
      </c>
      <c r="AX57">
        <v>56</v>
      </c>
      <c r="AY57">
        <v>14</v>
      </c>
      <c r="AZ57">
        <v>2</v>
      </c>
      <c r="BA57">
        <v>0</v>
      </c>
      <c r="BB57">
        <v>0</v>
      </c>
      <c r="BC57">
        <v>2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2</v>
      </c>
      <c r="BJ57">
        <v>2</v>
      </c>
      <c r="BK57">
        <v>3.49819057621727</v>
      </c>
      <c r="BL57">
        <v>56</v>
      </c>
      <c r="BM57">
        <v>14</v>
      </c>
      <c r="BN57">
        <v>3.5674945397471101</v>
      </c>
      <c r="BO57">
        <v>9895.0702175945898</v>
      </c>
      <c r="BP57" t="s">
        <v>405</v>
      </c>
      <c r="BQ57" t="str">
        <f>SUBSTITUTE(SUBSTITUTE(SUBSTITUTE(SUBSTITUTE(SUBSTITUTE(SUBSTITUTE(SUBSTITUTE(I57,"[",""),"]",""),"'",""),"M1-LOD-KS","לוד-כפרסבא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57">
        <f>IF($AP57="ארצי",COUNTIFS($AP$2:$AP$143,"ארצי",$BK$2:$BK$143,"&gt;"&amp;$BK57)+1,COUNTIFS($AP$2:$AP$143,$AP57,$L$2:$L$143,$L57,$BK$2:$BK$143,"&gt;"&amp;$BK57)+1)</f>
        <v>14</v>
      </c>
    </row>
    <row r="58" spans="1:70" x14ac:dyDescent="0.25">
      <c r="A58">
        <v>344</v>
      </c>
      <c r="B58">
        <v>34.792845120472698</v>
      </c>
      <c r="C58">
        <v>31.964745203001101</v>
      </c>
      <c r="D58" t="s">
        <v>406</v>
      </c>
      <c r="E58" t="s">
        <v>407</v>
      </c>
      <c r="F58" t="s">
        <v>212</v>
      </c>
      <c r="G58" t="s">
        <v>213</v>
      </c>
      <c r="H58" t="s">
        <v>408</v>
      </c>
      <c r="I58" t="s">
        <v>409</v>
      </c>
      <c r="J58" t="s">
        <v>74</v>
      </c>
      <c r="K58" t="s">
        <v>75</v>
      </c>
      <c r="L58" t="s">
        <v>75</v>
      </c>
      <c r="M58" t="s">
        <v>216</v>
      </c>
      <c r="N58" t="s">
        <v>132</v>
      </c>
      <c r="O58">
        <v>17317.9692</v>
      </c>
      <c r="P58">
        <v>1834.9092230000001</v>
      </c>
      <c r="Q58">
        <v>0.105954064348376</v>
      </c>
      <c r="R58">
        <v>6</v>
      </c>
      <c r="S58">
        <v>0</v>
      </c>
      <c r="T58">
        <v>0</v>
      </c>
      <c r="U58">
        <v>0</v>
      </c>
      <c r="V58">
        <v>0</v>
      </c>
      <c r="W58">
        <v>8</v>
      </c>
      <c r="X58">
        <v>0</v>
      </c>
      <c r="Y58">
        <v>0</v>
      </c>
      <c r="Z58">
        <v>18299.154424308799</v>
      </c>
      <c r="AA58">
        <v>4448.5009940528998</v>
      </c>
      <c r="AB58">
        <v>25582.102422545999</v>
      </c>
      <c r="AC58">
        <v>10114.630267655</v>
      </c>
      <c r="AD58">
        <v>17398.244617061799</v>
      </c>
      <c r="AE58">
        <v>7396.3635419431603</v>
      </c>
      <c r="AF58">
        <v>61279.501463916698</v>
      </c>
      <c r="AG58">
        <v>21959.494803651101</v>
      </c>
      <c r="AH58">
        <v>0</v>
      </c>
      <c r="AI58">
        <v>2</v>
      </c>
      <c r="AJ58">
        <v>0</v>
      </c>
      <c r="AK58">
        <v>2</v>
      </c>
      <c r="AL58">
        <v>70.400000000000006</v>
      </c>
      <c r="AM58">
        <v>0</v>
      </c>
      <c r="AN58" t="s">
        <v>140</v>
      </c>
      <c r="AO58" t="b">
        <v>0</v>
      </c>
      <c r="AP58" t="s">
        <v>140</v>
      </c>
      <c r="AQ58">
        <v>0</v>
      </c>
      <c r="AR58">
        <v>1</v>
      </c>
      <c r="AS58">
        <v>2.5377012143462299</v>
      </c>
      <c r="AT58">
        <v>1</v>
      </c>
      <c r="AU58">
        <v>6.5972393031875303</v>
      </c>
      <c r="AV58">
        <v>3.53661198355901</v>
      </c>
      <c r="AW58">
        <v>3.4928349229751601</v>
      </c>
      <c r="AX58">
        <v>57</v>
      </c>
      <c r="AY58">
        <v>9</v>
      </c>
      <c r="AZ58">
        <v>14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6</v>
      </c>
      <c r="BG58">
        <v>0</v>
      </c>
      <c r="BH58">
        <v>0</v>
      </c>
      <c r="BI58">
        <v>6</v>
      </c>
      <c r="BJ58">
        <v>14</v>
      </c>
      <c r="BK58">
        <v>3.4928349229751601</v>
      </c>
      <c r="BL58">
        <v>57</v>
      </c>
      <c r="BM58">
        <v>9</v>
      </c>
      <c r="BN58">
        <v>4.2384969629155096</v>
      </c>
      <c r="BO58">
        <v>53415.500131863497</v>
      </c>
      <c r="BP58" t="s">
        <v>410</v>
      </c>
      <c r="BQ58" t="str">
        <f>SUBSTITUTE(SUBSTITUTE(SUBSTITUTE(SUBSTITUTE(SUBSTITUTE(SUBSTITUTE(SUBSTITUTE(I58,"[",""),"]",""),"'",""),"M1-LOD-KS","לוד-כפרסבא (מטרו)"),"M1-KS-LOD","כפר סבא-לוד (מטרו)"),"M1-RA-RE","רעננה-רחובות (מטרו)"),"M1-RE-RA","רחובות-רעננה (מטרו)")</f>
        <v>תחנה מרכזית ראשל"צ-לוד (BRT), לוד-תחנה מרכזית ראשל"צ (BRT), אסף הרופא-חוף ראשל"צ (רק"ל), אסף הרופא-מתחם ה-1000 (רק"ל), מתחם ה-1000-אסף הרופא (רק"ל), חוף ראשל"צ-אסף הרופא (רק"ל)</v>
      </c>
      <c r="BR58">
        <f>IF($AP58="ארצי",COUNTIFS($AP$2:$AP$143,"ארצי",$BK$2:$BK$143,"&gt;"&amp;$BK58)+1,COUNTIFS($AP$2:$AP$143,$AP58,$L$2:$L$143,$L58,$BK$2:$BK$143,"&gt;"&amp;$BK58)+1)</f>
        <v>3</v>
      </c>
    </row>
    <row r="59" spans="1:70" x14ac:dyDescent="0.25">
      <c r="A59">
        <v>322</v>
      </c>
      <c r="B59">
        <v>34.879194101508297</v>
      </c>
      <c r="C59">
        <v>31.967611866908399</v>
      </c>
      <c r="D59" t="s">
        <v>411</v>
      </c>
      <c r="E59" t="s">
        <v>412</v>
      </c>
      <c r="F59" t="s">
        <v>413</v>
      </c>
      <c r="G59" t="s">
        <v>414</v>
      </c>
      <c r="H59" t="s">
        <v>415</v>
      </c>
      <c r="I59" t="s">
        <v>416</v>
      </c>
      <c r="J59" t="s">
        <v>74</v>
      </c>
      <c r="K59" t="s">
        <v>75</v>
      </c>
      <c r="L59" t="s">
        <v>75</v>
      </c>
      <c r="M59" t="s">
        <v>216</v>
      </c>
      <c r="N59" t="s">
        <v>132</v>
      </c>
      <c r="O59">
        <v>13379.26</v>
      </c>
      <c r="P59">
        <v>6653.15</v>
      </c>
      <c r="Q59">
        <v>0.49727339180193803</v>
      </c>
      <c r="R59">
        <v>2</v>
      </c>
      <c r="S59">
        <v>0</v>
      </c>
      <c r="T59">
        <v>0</v>
      </c>
      <c r="U59">
        <v>0</v>
      </c>
      <c r="V59">
        <v>2</v>
      </c>
      <c r="W59">
        <v>0</v>
      </c>
      <c r="X59">
        <v>1</v>
      </c>
      <c r="Y59">
        <v>0</v>
      </c>
      <c r="Z59">
        <v>4631.7633300211701</v>
      </c>
      <c r="AA59">
        <v>2086.6777186767299</v>
      </c>
      <c r="AB59">
        <v>8290.7468982351402</v>
      </c>
      <c r="AC59">
        <v>4019.4539697063501</v>
      </c>
      <c r="AD59">
        <v>5493.83198325584</v>
      </c>
      <c r="AE59">
        <v>4150.5707950777396</v>
      </c>
      <c r="AF59">
        <v>18416.342211512099</v>
      </c>
      <c r="AG59">
        <v>10256.7024834608</v>
      </c>
      <c r="AH59">
        <v>0</v>
      </c>
      <c r="AI59">
        <v>2</v>
      </c>
      <c r="AJ59">
        <v>0</v>
      </c>
      <c r="AK59">
        <v>3</v>
      </c>
      <c r="AL59">
        <v>33.6</v>
      </c>
      <c r="AM59">
        <v>3</v>
      </c>
      <c r="AN59" t="s">
        <v>103</v>
      </c>
      <c r="AO59" t="b">
        <v>0</v>
      </c>
      <c r="AP59" t="s">
        <v>103</v>
      </c>
      <c r="AQ59">
        <v>3</v>
      </c>
      <c r="AR59">
        <v>1</v>
      </c>
      <c r="AS59">
        <v>1.60237221123976</v>
      </c>
      <c r="AT59">
        <v>10</v>
      </c>
      <c r="AU59">
        <v>3.11259288658069</v>
      </c>
      <c r="AV59">
        <v>1.5389914045457</v>
      </c>
      <c r="AW59">
        <v>3.4879961130630299</v>
      </c>
      <c r="AX59">
        <v>59</v>
      </c>
      <c r="AY59">
        <v>25</v>
      </c>
      <c r="AZ59">
        <v>5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1</v>
      </c>
      <c r="BG59">
        <v>0</v>
      </c>
      <c r="BH59">
        <v>0</v>
      </c>
      <c r="BI59">
        <v>2</v>
      </c>
      <c r="BJ59">
        <v>5</v>
      </c>
      <c r="BK59">
        <v>3.4879961130630299</v>
      </c>
      <c r="BL59">
        <v>59</v>
      </c>
      <c r="BM59">
        <v>25</v>
      </c>
      <c r="BN59">
        <v>4.1264320934912897</v>
      </c>
      <c r="BO59">
        <v>11888.630429071</v>
      </c>
      <c r="BP59" t="s">
        <v>417</v>
      </c>
      <c r="BQ59" t="str">
        <f>SUBSTITUTE(SUBSTITUTE(SUBSTITUTE(SUBSTITUTE(SUBSTITUTE(SUBSTITUTE(SUBSTITUTE(I59,"[",""),"]",""),"'",""),"M1-LOD-KS","לוד-כפרסבא (מטרו)"),"M1-KS-LOD","כפר סבא-לוד (מטרו)"),"M1-RA-RE","רעננה-רחובות (מטרו)"),"M1-RE-RA","רחובות-רעננה (מטרו)")</f>
        <v>כרמיאל-אשקלון (רכבת בינעירונית), אשקלון-כרמיאל (רכבת בינעירונית), רצועת הנופש-צומת חולון (BRT), לוד-כפרסבא (מטרו), תחנה מרכזית ראשל"צ-לוד (BRT)</v>
      </c>
      <c r="BR59">
        <f>IF($AP59="ארצי",COUNTIFS($AP$2:$AP$143,"ארצי",$BK$2:$BK$143,"&gt;"&amp;$BK59)+1,COUNTIFS($AP$2:$AP$143,$AP59,$L$2:$L$143,$L59,$BK$2:$BK$143,"&gt;"&amp;$BK59)+1)</f>
        <v>13</v>
      </c>
    </row>
    <row r="60" spans="1:70" x14ac:dyDescent="0.25">
      <c r="A60">
        <v>163</v>
      </c>
      <c r="B60">
        <v>34.818183375120498</v>
      </c>
      <c r="C60">
        <v>32.164229113169498</v>
      </c>
      <c r="D60" t="s">
        <v>418</v>
      </c>
      <c r="E60" t="s">
        <v>419</v>
      </c>
      <c r="F60" t="s">
        <v>149</v>
      </c>
      <c r="G60" t="s">
        <v>150</v>
      </c>
      <c r="H60" t="s">
        <v>420</v>
      </c>
      <c r="I60" t="s">
        <v>421</v>
      </c>
      <c r="J60" t="s">
        <v>74</v>
      </c>
      <c r="K60" t="s">
        <v>75</v>
      </c>
      <c r="L60" t="s">
        <v>75</v>
      </c>
      <c r="M60" t="s">
        <v>139</v>
      </c>
      <c r="N60" t="s">
        <v>132</v>
      </c>
      <c r="O60">
        <v>61074.05</v>
      </c>
      <c r="P60">
        <v>55686.109999999899</v>
      </c>
      <c r="Q60">
        <v>0.91178020779692803</v>
      </c>
      <c r="R60">
        <v>2</v>
      </c>
      <c r="S60">
        <v>0</v>
      </c>
      <c r="T60">
        <v>0</v>
      </c>
      <c r="U60">
        <v>0</v>
      </c>
      <c r="V60">
        <v>11</v>
      </c>
      <c r="W60">
        <v>8</v>
      </c>
      <c r="X60">
        <v>0</v>
      </c>
      <c r="Y60">
        <v>11</v>
      </c>
      <c r="Z60">
        <v>4061.39449975874</v>
      </c>
      <c r="AA60">
        <v>4373.0203488152902</v>
      </c>
      <c r="AB60">
        <v>9203.5295225427199</v>
      </c>
      <c r="AC60">
        <v>11847.6439025645</v>
      </c>
      <c r="AD60">
        <v>7368.90728253817</v>
      </c>
      <c r="AE60">
        <v>7598.7863682527004</v>
      </c>
      <c r="AF60">
        <v>20633.831304839601</v>
      </c>
      <c r="AG60">
        <v>23819.450619632498</v>
      </c>
      <c r="AH60">
        <v>0</v>
      </c>
      <c r="AI60">
        <v>2</v>
      </c>
      <c r="AJ60">
        <v>0</v>
      </c>
      <c r="AK60">
        <v>4</v>
      </c>
      <c r="AL60">
        <v>248.3</v>
      </c>
      <c r="AM60">
        <v>2</v>
      </c>
      <c r="AN60" t="s">
        <v>78</v>
      </c>
      <c r="AO60" t="b">
        <v>0</v>
      </c>
      <c r="AP60" t="s">
        <v>78</v>
      </c>
      <c r="AQ60">
        <v>2</v>
      </c>
      <c r="AR60">
        <v>1</v>
      </c>
      <c r="AS60">
        <v>7.0593052809940602</v>
      </c>
      <c r="AT60">
        <v>7</v>
      </c>
      <c r="AU60">
        <v>1.1775229491127801</v>
      </c>
      <c r="AV60">
        <v>2.0822666467831299</v>
      </c>
      <c r="AW60">
        <v>3.4850840676974202</v>
      </c>
      <c r="AX60">
        <v>60</v>
      </c>
      <c r="AY60">
        <v>12</v>
      </c>
      <c r="AZ60">
        <v>32</v>
      </c>
      <c r="BA60">
        <v>2</v>
      </c>
      <c r="BB60">
        <v>0</v>
      </c>
      <c r="BC60">
        <v>4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6</v>
      </c>
      <c r="BJ60">
        <v>32</v>
      </c>
      <c r="BK60">
        <v>3.4850840676974202</v>
      </c>
      <c r="BL60">
        <v>60</v>
      </c>
      <c r="BM60">
        <v>12</v>
      </c>
      <c r="BN60">
        <v>4.7858567202960396</v>
      </c>
      <c r="BO60">
        <v>23182.326756673901</v>
      </c>
      <c r="BP60" t="s">
        <v>422</v>
      </c>
      <c r="BQ60" t="str">
        <f>SUBSTITUTE(SUBSTITUTE(SUBSTITUTE(SUBSTITUTE(SUBSTITUTE(SUBSTITUTE(SUBSTITUTE(I60,"[",""),"]",""),"'",""),"M1-LOD-KS","לוד-כפרסבא (מטרו)"),"M1-KS-LOD","כפר סבא-לוד (מטרו)"),"M1-RA-RE","רעננה-רחובות (מטרו)"),"M1-RE-RA","רחובות-רעננה (מטרו)")</f>
        <v>כפר סבא-הרצליה (BRT), הרצליה-כפר סבא (BRT), באר שבע-עכו (רכבת בינעירונית), עכו-באר שבע (רכבת בינעירונית), בית שמש-הרצליה (רכבת פרברית), הרצליה-בית שאן (רכבת פרברית), באר שבע-מודיעין (רכבת פרברית), מודיעין-קרית שמונה (רכבת בינעירונית), קרית שמונה-מודיעין (רכבת בינעירונית), שוקת-זיכרון יעקב (רכבת פרברית), באר שבע-נהריה (רכבת בינעירונית), הרצליה-בית שמש (רכבת פרברית), נתניה-ירושלים (רכבת פרברית), בית שאן-הרצליה (רכבת פרברית), ראש העין-באר שבע (רכבת פרברית), ירושלים-נתניה (רכבת פרברית), כרמיאל-אשקלון (רכבת בינעירונית), אשקלון-כרמיאל (רכבת בינעירונית), זיכרון יעקב-שוקת (רכבת פרברית), מודיעין-באר שבע (רכבת פרברית), זיכרון יעקב-אשקלון (רכבת פרברית), באר שבע-ראש העין (רכבת פרברית), נהריה-באר שבע (רכבת בינעירונית), אשקלון-זיכרון יעקב (רכבת פרברית), הרצליה-נתניה מזרח (רק"ל), נתניה מזרח-הרצליה (רק"ל), נתניה מערב-הרצליה (רק"ל), הרצליה-נתניה מערב (רק"ל)</v>
      </c>
      <c r="BR60">
        <f>IF($AP60="ארצי",COUNTIFS($AP$2:$AP$143,"ארצי",$BK$2:$BK$143,"&gt;"&amp;$BK60)+1,COUNTIFS($AP$2:$AP$143,$AP60,$L$2:$L$143,$L60,$BK$2:$BK$143,"&gt;"&amp;$BK60)+1)</f>
        <v>12</v>
      </c>
    </row>
    <row r="61" spans="1:70" x14ac:dyDescent="0.25">
      <c r="A61">
        <v>42</v>
      </c>
      <c r="B61">
        <v>34.8991990397124</v>
      </c>
      <c r="C61">
        <v>32.324226670995898</v>
      </c>
      <c r="D61" t="s">
        <v>423</v>
      </c>
      <c r="E61" t="s">
        <v>424</v>
      </c>
      <c r="F61" t="s">
        <v>127</v>
      </c>
      <c r="G61" t="s">
        <v>128</v>
      </c>
      <c r="H61" t="s">
        <v>144</v>
      </c>
      <c r="I61" t="s">
        <v>145</v>
      </c>
      <c r="J61" t="s">
        <v>74</v>
      </c>
      <c r="K61" t="s">
        <v>75</v>
      </c>
      <c r="L61" t="s">
        <v>75</v>
      </c>
      <c r="M61" t="s">
        <v>131</v>
      </c>
      <c r="N61" t="s">
        <v>132</v>
      </c>
      <c r="O61">
        <v>15690.52</v>
      </c>
      <c r="P61">
        <v>10561.7</v>
      </c>
      <c r="Q61">
        <v>0.67312619339575697</v>
      </c>
      <c r="R61">
        <v>1</v>
      </c>
      <c r="S61">
        <v>0</v>
      </c>
      <c r="T61">
        <v>0</v>
      </c>
      <c r="U61">
        <v>0</v>
      </c>
      <c r="V61">
        <v>0</v>
      </c>
      <c r="W61">
        <v>1</v>
      </c>
      <c r="X61">
        <v>0</v>
      </c>
      <c r="Y61">
        <v>0</v>
      </c>
      <c r="Z61">
        <v>1413.4503741542901</v>
      </c>
      <c r="AA61">
        <v>689.71754170654003</v>
      </c>
      <c r="AB61">
        <v>3813.8901125283501</v>
      </c>
      <c r="AC61">
        <v>1729.06045808361</v>
      </c>
      <c r="AD61">
        <v>4087.4909026042501</v>
      </c>
      <c r="AE61">
        <v>1660.05658691237</v>
      </c>
      <c r="AF61">
        <v>9314.8313892868991</v>
      </c>
      <c r="AG61">
        <v>4078.83458670252</v>
      </c>
      <c r="AH61">
        <v>0</v>
      </c>
      <c r="AI61">
        <v>2</v>
      </c>
      <c r="AJ61">
        <v>0</v>
      </c>
      <c r="AK61">
        <v>2</v>
      </c>
      <c r="AL61">
        <v>9.9</v>
      </c>
      <c r="AM61">
        <v>0</v>
      </c>
      <c r="AN61" t="s">
        <v>133</v>
      </c>
      <c r="AO61" t="b">
        <v>0</v>
      </c>
      <c r="AP61" t="s">
        <v>133</v>
      </c>
      <c r="AQ61">
        <v>0</v>
      </c>
      <c r="AR61">
        <v>1</v>
      </c>
      <c r="AS61">
        <v>1</v>
      </c>
      <c r="AT61">
        <v>1</v>
      </c>
      <c r="AU61">
        <v>7.7177654611628697</v>
      </c>
      <c r="AV61">
        <v>1.2136815028749399</v>
      </c>
      <c r="AW61">
        <v>3.4475425422878598</v>
      </c>
      <c r="AX61">
        <v>61</v>
      </c>
      <c r="AY61">
        <v>15</v>
      </c>
      <c r="AZ61">
        <v>2</v>
      </c>
      <c r="BA61">
        <v>0</v>
      </c>
      <c r="BB61">
        <v>0</v>
      </c>
      <c r="BC61">
        <v>2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2</v>
      </c>
      <c r="BJ61">
        <v>2</v>
      </c>
      <c r="BK61">
        <v>3.4475425422878598</v>
      </c>
      <c r="BL61">
        <v>61</v>
      </c>
      <c r="BM61">
        <v>15</v>
      </c>
      <c r="BN61">
        <v>4.1956373367920596</v>
      </c>
      <c r="BO61">
        <v>5126.0339472194</v>
      </c>
      <c r="BP61" t="s">
        <v>425</v>
      </c>
      <c r="BQ61" t="str">
        <f>SUBSTITUTE(SUBSTITUTE(SUBSTITUTE(SUBSTITUTE(SUBSTITUTE(SUBSTITUTE(SUBSTITUTE(I61,"[",""),"]",""),"'",""),"M1-LOD-KS","לוד-כפרסבא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61">
        <f>IF($AP61="ארצי",COUNTIFS($AP$2:$AP$143,"ארצי",$BK$2:$BK$143,"&gt;"&amp;$BK61)+1,COUNTIFS($AP$2:$AP$143,$AP61,$L$2:$L$143,$L61,$BK$2:$BK$143,"&gt;"&amp;$BK61)+1)</f>
        <v>15</v>
      </c>
    </row>
    <row r="62" spans="1:70" x14ac:dyDescent="0.25">
      <c r="A62">
        <v>402</v>
      </c>
      <c r="B62">
        <v>34.744327111930197</v>
      </c>
      <c r="C62">
        <v>31.861241971069902</v>
      </c>
      <c r="D62" t="s">
        <v>426</v>
      </c>
      <c r="E62" t="s">
        <v>427</v>
      </c>
      <c r="F62" t="s">
        <v>98</v>
      </c>
      <c r="G62" t="s">
        <v>99</v>
      </c>
      <c r="H62" t="s">
        <v>428</v>
      </c>
      <c r="I62" t="s">
        <v>429</v>
      </c>
      <c r="J62" t="s">
        <v>74</v>
      </c>
      <c r="K62" t="s">
        <v>75</v>
      </c>
      <c r="L62" t="s">
        <v>75</v>
      </c>
      <c r="M62" t="s">
        <v>131</v>
      </c>
      <c r="N62" t="s">
        <v>132</v>
      </c>
      <c r="O62">
        <v>14546.39</v>
      </c>
      <c r="P62">
        <v>10763.15</v>
      </c>
      <c r="Q62">
        <v>0.73991897646082605</v>
      </c>
      <c r="R62">
        <v>0</v>
      </c>
      <c r="S62">
        <v>0</v>
      </c>
      <c r="T62">
        <v>0</v>
      </c>
      <c r="U62">
        <v>0</v>
      </c>
      <c r="V62">
        <v>3</v>
      </c>
      <c r="W62">
        <v>6</v>
      </c>
      <c r="X62">
        <v>0</v>
      </c>
      <c r="Y62">
        <v>3</v>
      </c>
      <c r="Z62">
        <v>3292.4818544497598</v>
      </c>
      <c r="AA62">
        <v>3053.1094733816899</v>
      </c>
      <c r="AB62">
        <v>8183.9049623118299</v>
      </c>
      <c r="AC62">
        <v>2823.3162347964399</v>
      </c>
      <c r="AD62">
        <v>6585.9711407144196</v>
      </c>
      <c r="AE62">
        <v>1470.03131323562</v>
      </c>
      <c r="AF62">
        <v>18062.357957476001</v>
      </c>
      <c r="AG62">
        <v>7346.4570214137702</v>
      </c>
      <c r="AH62">
        <v>0</v>
      </c>
      <c r="AI62">
        <v>2</v>
      </c>
      <c r="AJ62">
        <v>0</v>
      </c>
      <c r="AK62">
        <v>3</v>
      </c>
      <c r="AL62">
        <v>82.8</v>
      </c>
      <c r="AM62">
        <v>2</v>
      </c>
      <c r="AN62" t="s">
        <v>103</v>
      </c>
      <c r="AO62" t="b">
        <v>0</v>
      </c>
      <c r="AP62" t="s">
        <v>103</v>
      </c>
      <c r="AQ62">
        <v>2</v>
      </c>
      <c r="AR62">
        <v>1</v>
      </c>
      <c r="AS62">
        <v>2.85286642191471</v>
      </c>
      <c r="AT62">
        <v>7</v>
      </c>
      <c r="AU62">
        <v>3.2969798154271399</v>
      </c>
      <c r="AV62">
        <v>1.42358953919027</v>
      </c>
      <c r="AW62">
        <v>3.4261771354811201</v>
      </c>
      <c r="AX62">
        <v>62</v>
      </c>
      <c r="AY62">
        <v>26</v>
      </c>
      <c r="AZ62">
        <v>12</v>
      </c>
      <c r="BA62">
        <v>0</v>
      </c>
      <c r="BB62">
        <v>0</v>
      </c>
      <c r="BC62">
        <v>3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3</v>
      </c>
      <c r="BJ62">
        <v>12</v>
      </c>
      <c r="BK62">
        <v>3.4261771354811201</v>
      </c>
      <c r="BL62">
        <v>62</v>
      </c>
      <c r="BM62">
        <v>26</v>
      </c>
      <c r="BN62">
        <v>4.1627552271634602</v>
      </c>
      <c r="BO62">
        <v>9489.6372086262199</v>
      </c>
      <c r="BP62" t="s">
        <v>430</v>
      </c>
      <c r="BQ62" t="str">
        <f>SUBSTITUTE(SUBSTITUTE(SUBSTITUTE(SUBSTITUTE(SUBSTITUTE(SUBSTITUTE(SUBSTITUTE(I62,"[",""),"]",""),"'",""),"M1-LOD-KS","לוד-כפרסבא (מטרו)"),"M1-KS-LOD","כפר סבא-לוד (מטרו)"),"M1-RA-RE","רעננה-רחובות (מטרו)"),"M1-RE-RA","רחובות-רעננה (מטרו)")</f>
        <v>יבנה מערב-רחובות (רק"ל), אשדוד-יבנה (דרך הנמל) (רק"ל), יבנה-אשדוד (דרך הנמל) (רק"ל), זיכרון יעקב-אשקלון (רכבת פרברית), מודיעין-אשדוד (רכבת פרברית), אשקלון-כרמיאל (רכבת בינעירונית), אשדוד-מודיעין (רכבת פרברית), כרמיאל-אשקלון (רכבת בינעירונית), אשקלון-זיכרון יעקב (רכבת פרברית), רחובות-יבנה מזרח (רק"ל), יבנה מזרח-רחובות (רק"ל)</v>
      </c>
      <c r="BR62">
        <f>IF($AP62="ארצי",COUNTIFS($AP$2:$AP$143,"ארצי",$BK$2:$BK$143,"&gt;"&amp;$BK62)+1,COUNTIFS($AP$2:$AP$143,$AP62,$L$2:$L$143,$L62,$BK$2:$BK$143,"&gt;"&amp;$BK62)+1)</f>
        <v>14</v>
      </c>
    </row>
    <row r="63" spans="1:70" x14ac:dyDescent="0.25">
      <c r="A63">
        <v>608</v>
      </c>
      <c r="B63">
        <v>34.861427605249602</v>
      </c>
      <c r="C63">
        <v>32.096360104723203</v>
      </c>
      <c r="D63" t="s">
        <v>431</v>
      </c>
      <c r="E63" t="s">
        <v>432</v>
      </c>
      <c r="F63" t="s">
        <v>373</v>
      </c>
      <c r="G63" t="s">
        <v>374</v>
      </c>
      <c r="H63" t="s">
        <v>433</v>
      </c>
      <c r="I63" t="s">
        <v>434</v>
      </c>
      <c r="J63" t="s">
        <v>74</v>
      </c>
      <c r="K63" t="s">
        <v>75</v>
      </c>
      <c r="L63" t="s">
        <v>75</v>
      </c>
      <c r="M63" t="s">
        <v>216</v>
      </c>
      <c r="N63" t="s">
        <v>132</v>
      </c>
      <c r="O63">
        <v>157787.22999999899</v>
      </c>
      <c r="P63">
        <v>134990.41</v>
      </c>
      <c r="Q63">
        <v>0.855521768143087</v>
      </c>
      <c r="R63">
        <v>4</v>
      </c>
      <c r="S63">
        <v>0</v>
      </c>
      <c r="T63">
        <v>0</v>
      </c>
      <c r="U63">
        <v>0</v>
      </c>
      <c r="V63">
        <v>0</v>
      </c>
      <c r="W63">
        <v>2</v>
      </c>
      <c r="X63">
        <v>2</v>
      </c>
      <c r="Y63">
        <v>0</v>
      </c>
      <c r="Z63">
        <v>194.389867663611</v>
      </c>
      <c r="AA63">
        <v>21736.840676051401</v>
      </c>
      <c r="AB63">
        <v>5208.9224155269503</v>
      </c>
      <c r="AC63">
        <v>35381.8655411328</v>
      </c>
      <c r="AD63">
        <v>9645.3694702653993</v>
      </c>
      <c r="AE63">
        <v>19595.8448326818</v>
      </c>
      <c r="AF63">
        <v>15048.6817534559</v>
      </c>
      <c r="AG63">
        <v>76714.551049866102</v>
      </c>
      <c r="AH63">
        <v>0</v>
      </c>
      <c r="AI63">
        <v>2</v>
      </c>
      <c r="AJ63">
        <v>0</v>
      </c>
      <c r="AK63">
        <v>3</v>
      </c>
      <c r="AL63">
        <v>45.6</v>
      </c>
      <c r="AM63">
        <v>0</v>
      </c>
      <c r="AN63" t="s">
        <v>103</v>
      </c>
      <c r="AO63" t="b">
        <v>0</v>
      </c>
      <c r="AP63" t="s">
        <v>103</v>
      </c>
      <c r="AQ63">
        <v>0</v>
      </c>
      <c r="AR63">
        <v>1</v>
      </c>
      <c r="AS63">
        <v>1.9073707992092599</v>
      </c>
      <c r="AT63">
        <v>1</v>
      </c>
      <c r="AU63">
        <v>8.5525520513977007</v>
      </c>
      <c r="AV63">
        <v>4.0641177126498098</v>
      </c>
      <c r="AW63">
        <v>3.4128751107794</v>
      </c>
      <c r="AX63">
        <v>63</v>
      </c>
      <c r="AY63">
        <v>27</v>
      </c>
      <c r="AZ63">
        <v>8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2</v>
      </c>
      <c r="BG63">
        <v>0</v>
      </c>
      <c r="BH63">
        <v>0</v>
      </c>
      <c r="BI63">
        <v>2</v>
      </c>
      <c r="BJ63">
        <v>8</v>
      </c>
      <c r="BK63">
        <v>3.4128751107794</v>
      </c>
      <c r="BL63">
        <v>63</v>
      </c>
      <c r="BM63">
        <v>27</v>
      </c>
      <c r="BN63">
        <v>5.1980718520739702</v>
      </c>
      <c r="BO63">
        <v>64381.377190584099</v>
      </c>
      <c r="BP63" t="s">
        <v>435</v>
      </c>
      <c r="BQ63" t="str">
        <f>SUBSTITUTE(SUBSTITUTE(SUBSTITUTE(SUBSTITUTE(SUBSTITUTE(SUBSTITUTE(SUBSTITUTE(I63,"[",""),"]",""),"'",""),"M1-LOD-KS","לוד-כפרסבא (מטרו)"),"M1-KS-LOD","כפר סבא-לוד (מטרו)"),"M1-RA-RE","רעננה-רחובות (מטרו)"),"M1-RE-RA","רחובות-רעננה (מטרו)")</f>
        <v>ר"ג-כפר קאסם (BRT), ראש העין-רמת גן (BRT), ראש העין-רמת גן (BRT), כפר קאסם-ר"ג (BRT), צומת בילו-צומת רעננה (רק"ל), צומת רעננה-צומת בילו (רק"ל), הרצליה-בת ים (מטרו), בת ים-הרצליה (מטרו)</v>
      </c>
      <c r="BR63">
        <f>IF($AP63="ארצי",COUNTIFS($AP$2:$AP$143,"ארצי",$BK$2:$BK$143,"&gt;"&amp;$BK63)+1,COUNTIFS($AP$2:$AP$143,$AP63,$L$2:$L$143,$L63,$BK$2:$BK$143,"&gt;"&amp;$BK63)+1)</f>
        <v>15</v>
      </c>
    </row>
    <row r="64" spans="1:70" x14ac:dyDescent="0.25">
      <c r="A64">
        <v>160</v>
      </c>
      <c r="B64">
        <v>34.865202664699098</v>
      </c>
      <c r="C64">
        <v>32.291044212364902</v>
      </c>
      <c r="D64" t="s">
        <v>436</v>
      </c>
      <c r="E64" t="s">
        <v>437</v>
      </c>
      <c r="F64" t="s">
        <v>127</v>
      </c>
      <c r="G64" t="s">
        <v>128</v>
      </c>
      <c r="H64" t="s">
        <v>144</v>
      </c>
      <c r="I64" t="s">
        <v>145</v>
      </c>
      <c r="J64" t="s">
        <v>74</v>
      </c>
      <c r="K64" t="s">
        <v>75</v>
      </c>
      <c r="L64" t="s">
        <v>75</v>
      </c>
      <c r="M64" t="s">
        <v>131</v>
      </c>
      <c r="N64" t="s">
        <v>132</v>
      </c>
      <c r="O64">
        <v>3235.85</v>
      </c>
      <c r="P64">
        <v>22.15</v>
      </c>
      <c r="Q64">
        <v>6.8451875086916799E-3</v>
      </c>
      <c r="R64">
        <v>1</v>
      </c>
      <c r="S64">
        <v>0</v>
      </c>
      <c r="T64">
        <v>0</v>
      </c>
      <c r="U64">
        <v>0</v>
      </c>
      <c r="V64">
        <v>0</v>
      </c>
      <c r="W64">
        <v>1</v>
      </c>
      <c r="X64">
        <v>0</v>
      </c>
      <c r="Y64">
        <v>0</v>
      </c>
      <c r="Z64">
        <v>4391.7461544502803</v>
      </c>
      <c r="AA64">
        <v>10089.9555034886</v>
      </c>
      <c r="AB64">
        <v>9677.2711932886195</v>
      </c>
      <c r="AC64">
        <v>13117.5554090553</v>
      </c>
      <c r="AD64">
        <v>8531.6982648654794</v>
      </c>
      <c r="AE64">
        <v>7000.9765132210396</v>
      </c>
      <c r="AF64">
        <v>22600.715612604399</v>
      </c>
      <c r="AG64">
        <v>30208.487425764899</v>
      </c>
      <c r="AH64">
        <v>0</v>
      </c>
      <c r="AI64">
        <v>2</v>
      </c>
      <c r="AJ64">
        <v>0</v>
      </c>
      <c r="AK64">
        <v>2</v>
      </c>
      <c r="AL64">
        <v>9.9</v>
      </c>
      <c r="AM64">
        <v>0</v>
      </c>
      <c r="AN64" t="s">
        <v>133</v>
      </c>
      <c r="AO64" t="b">
        <v>0</v>
      </c>
      <c r="AP64" t="s">
        <v>133</v>
      </c>
      <c r="AQ64">
        <v>0</v>
      </c>
      <c r="AR64">
        <v>1</v>
      </c>
      <c r="AS64">
        <v>1</v>
      </c>
      <c r="AT64">
        <v>1</v>
      </c>
      <c r="AU64">
        <v>3.5215741322742899</v>
      </c>
      <c r="AV64">
        <v>2.3470618243596699</v>
      </c>
      <c r="AW64">
        <v>3.3902401359921299</v>
      </c>
      <c r="AX64">
        <v>64</v>
      </c>
      <c r="AY64">
        <v>16</v>
      </c>
      <c r="AZ64">
        <v>2</v>
      </c>
      <c r="BA64">
        <v>0</v>
      </c>
      <c r="BB64">
        <v>0</v>
      </c>
      <c r="BC64">
        <v>2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2</v>
      </c>
      <c r="BJ64">
        <v>2</v>
      </c>
      <c r="BK64">
        <v>3.3902401359921299</v>
      </c>
      <c r="BL64">
        <v>64</v>
      </c>
      <c r="BM64">
        <v>16</v>
      </c>
      <c r="BN64">
        <v>3.5099883813944399</v>
      </c>
      <c r="BO64">
        <v>28686.933063132801</v>
      </c>
      <c r="BP64" t="s">
        <v>438</v>
      </c>
      <c r="BQ64" t="str">
        <f>SUBSTITUTE(SUBSTITUTE(SUBSTITUTE(SUBSTITUTE(SUBSTITUTE(SUBSTITUTE(SUBSTITUTE(I64,"[",""),"]",""),"'",""),"M1-LOD-KS","לוד-כפרסבא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64">
        <f>IF($AP64="ארצי",COUNTIFS($AP$2:$AP$143,"ארצי",$BK$2:$BK$143,"&gt;"&amp;$BK64)+1,COUNTIFS($AP$2:$AP$143,$AP64,$L$2:$L$143,$L64,$BK$2:$BK$143,"&gt;"&amp;$BK64)+1)</f>
        <v>16</v>
      </c>
    </row>
    <row r="65" spans="1:70" x14ac:dyDescent="0.25">
      <c r="A65">
        <v>349</v>
      </c>
      <c r="B65">
        <v>34.8019687719882</v>
      </c>
      <c r="C65">
        <v>31.949325766300301</v>
      </c>
      <c r="D65" t="s">
        <v>439</v>
      </c>
      <c r="E65" t="s">
        <v>440</v>
      </c>
      <c r="F65" t="s">
        <v>383</v>
      </c>
      <c r="G65" t="s">
        <v>384</v>
      </c>
      <c r="H65" t="s">
        <v>441</v>
      </c>
      <c r="I65" t="s">
        <v>442</v>
      </c>
      <c r="J65" t="s">
        <v>74</v>
      </c>
      <c r="K65" t="s">
        <v>75</v>
      </c>
      <c r="L65" t="s">
        <v>75</v>
      </c>
      <c r="M65" t="s">
        <v>216</v>
      </c>
      <c r="N65" t="s">
        <v>132</v>
      </c>
      <c r="O65">
        <v>44308.160000000003</v>
      </c>
      <c r="P65">
        <v>27181.06</v>
      </c>
      <c r="Q65">
        <v>0.61345494825332403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2</v>
      </c>
      <c r="Y65">
        <v>2</v>
      </c>
      <c r="Z65">
        <v>8577.2652825445093</v>
      </c>
      <c r="AA65">
        <v>2047.71007957184</v>
      </c>
      <c r="AB65">
        <v>17493.513631404301</v>
      </c>
      <c r="AC65">
        <v>3668.89307373668</v>
      </c>
      <c r="AD65">
        <v>12006.651061143501</v>
      </c>
      <c r="AE65">
        <v>2725.2717549051199</v>
      </c>
      <c r="AF65">
        <v>38077.429975092396</v>
      </c>
      <c r="AG65">
        <v>8441.8749082136492</v>
      </c>
      <c r="AH65">
        <v>0</v>
      </c>
      <c r="AI65">
        <v>2</v>
      </c>
      <c r="AJ65">
        <v>0</v>
      </c>
      <c r="AK65">
        <v>2</v>
      </c>
      <c r="AL65">
        <v>26.4</v>
      </c>
      <c r="AM65">
        <v>2</v>
      </c>
      <c r="AN65" t="s">
        <v>103</v>
      </c>
      <c r="AO65" t="b">
        <v>0</v>
      </c>
      <c r="AP65" t="s">
        <v>103</v>
      </c>
      <c r="AQ65">
        <v>2</v>
      </c>
      <c r="AR65">
        <v>1</v>
      </c>
      <c r="AS65">
        <v>1.4193730584580599</v>
      </c>
      <c r="AT65">
        <v>7</v>
      </c>
      <c r="AU65">
        <v>5.7525281480733899</v>
      </c>
      <c r="AV65">
        <v>1.6583071442242501</v>
      </c>
      <c r="AW65">
        <v>3.37265104963579</v>
      </c>
      <c r="AX65">
        <v>65</v>
      </c>
      <c r="AY65">
        <v>28</v>
      </c>
      <c r="AZ65">
        <v>4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4</v>
      </c>
      <c r="BK65">
        <v>3.37265104963579</v>
      </c>
      <c r="BL65">
        <v>65</v>
      </c>
      <c r="BM65">
        <v>28</v>
      </c>
      <c r="BN65">
        <v>4.6464837153117102</v>
      </c>
      <c r="BO65">
        <v>14368.985921589399</v>
      </c>
      <c r="BP65" t="s">
        <v>443</v>
      </c>
      <c r="BQ65" t="str">
        <f>SUBSTITUTE(SUBSTITUTE(SUBSTITUTE(SUBSTITUTE(SUBSTITUTE(SUBSTITUTE(SUBSTITUTE(I65,"[",""),"]",""),"'",""),"M1-LOD-KS","לוד-כפרסבא (מטרו)"),"M1-KS-LOD","כפר סבא-לוד (מטרו)"),"M1-RA-RE","רעננה-רחובות (מטרו)"),"M1-RE-RA","רחובות-רעננה (מטרו)")</f>
        <v>מודיעין-באר שבע (רכבת פרברית), באר שבע-מודיעין (רכבת פרברית), רעננה-רחובות (מטרו), רחובות-רעננה (מטרו)</v>
      </c>
      <c r="BR65">
        <f>IF($AP65="ארצי",COUNTIFS($AP$2:$AP$143,"ארצי",$BK$2:$BK$143,"&gt;"&amp;$BK65)+1,COUNTIFS($AP$2:$AP$143,$AP65,$L$2:$L$143,$L65,$BK$2:$BK$143,"&gt;"&amp;$BK65)+1)</f>
        <v>16</v>
      </c>
    </row>
    <row r="66" spans="1:70" x14ac:dyDescent="0.25">
      <c r="A66">
        <v>299</v>
      </c>
      <c r="B66">
        <v>34.855572691276102</v>
      </c>
      <c r="C66">
        <v>31.9347553160686</v>
      </c>
      <c r="D66" t="s">
        <v>764</v>
      </c>
      <c r="E66" t="s">
        <v>765</v>
      </c>
      <c r="F66" t="s">
        <v>313</v>
      </c>
      <c r="G66" t="s">
        <v>314</v>
      </c>
      <c r="H66" t="s">
        <v>479</v>
      </c>
      <c r="I66" t="s">
        <v>480</v>
      </c>
      <c r="J66" t="s">
        <v>74</v>
      </c>
      <c r="K66" t="s">
        <v>75</v>
      </c>
      <c r="L66" t="s">
        <v>75</v>
      </c>
      <c r="M66" t="s">
        <v>216</v>
      </c>
      <c r="N66" t="s">
        <v>132</v>
      </c>
      <c r="O66">
        <v>18724.78</v>
      </c>
      <c r="P66">
        <v>54.580544699999997</v>
      </c>
      <c r="Q66">
        <v>2.9148830960897799E-3</v>
      </c>
      <c r="R66">
        <v>2</v>
      </c>
      <c r="S66">
        <v>0</v>
      </c>
      <c r="T66">
        <v>0</v>
      </c>
      <c r="U66">
        <v>0</v>
      </c>
      <c r="V66">
        <v>0</v>
      </c>
      <c r="W66">
        <v>0</v>
      </c>
      <c r="X66">
        <v>2</v>
      </c>
      <c r="Y66">
        <v>0</v>
      </c>
      <c r="Z66">
        <v>17020.778086929098</v>
      </c>
      <c r="AA66">
        <v>3113.1038936684499</v>
      </c>
      <c r="AB66">
        <v>22560.650477547799</v>
      </c>
      <c r="AC66">
        <v>4488.1482447217604</v>
      </c>
      <c r="AD66">
        <v>12405.902866376</v>
      </c>
      <c r="AE66">
        <v>2477.7176827447702</v>
      </c>
      <c r="AF66">
        <v>51987.331430853097</v>
      </c>
      <c r="AG66">
        <v>10078.9698211349</v>
      </c>
      <c r="AH66">
        <v>0</v>
      </c>
      <c r="AI66">
        <v>2</v>
      </c>
      <c r="AJ66">
        <v>0</v>
      </c>
      <c r="AK66">
        <v>2</v>
      </c>
      <c r="AL66">
        <v>22</v>
      </c>
      <c r="AM66">
        <v>0</v>
      </c>
      <c r="AN66" t="s">
        <v>103</v>
      </c>
      <c r="AO66" t="b">
        <v>0</v>
      </c>
      <c r="AP66" t="s">
        <v>103</v>
      </c>
      <c r="AQ66">
        <v>0</v>
      </c>
      <c r="AR66">
        <v>1</v>
      </c>
      <c r="AS66">
        <v>1.30754024286924</v>
      </c>
      <c r="AT66">
        <v>1</v>
      </c>
      <c r="AU66">
        <v>3.85365388333669</v>
      </c>
      <c r="AV66">
        <v>1.8551333612926899</v>
      </c>
      <c r="AW66">
        <v>1.82368770776223</v>
      </c>
      <c r="AX66">
        <v>140</v>
      </c>
      <c r="AY66">
        <v>64</v>
      </c>
      <c r="AZ66">
        <v>4</v>
      </c>
      <c r="BA66">
        <v>0</v>
      </c>
      <c r="BB66">
        <v>0</v>
      </c>
      <c r="BC66">
        <v>2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2</v>
      </c>
      <c r="BJ66">
        <v>4</v>
      </c>
      <c r="BK66">
        <v>1.82368770776223</v>
      </c>
      <c r="BL66">
        <v>140</v>
      </c>
      <c r="BM66">
        <v>64</v>
      </c>
      <c r="BN66">
        <v>4.2724167238162396</v>
      </c>
      <c r="BO66">
        <v>18460.642143078599</v>
      </c>
      <c r="BP66" t="s">
        <v>792</v>
      </c>
      <c r="BQ66" t="str">
        <f>SUBSTITUTE(SUBSTITUTE(SUBSTITUTE(SUBSTITUTE(SUBSTITUTE(SUBSTITUTE(SUBSTITUTE(I66,"[",""),"]",""),"'",""),"M1-LOD-KS","לוד-כפרסבא (מטרו)"),"M1-KS-LOD","כפר סבא-לוד (מטרו)"),"M1-RA-RE","רעננה-רחובות (מטרו)"),"M1-RE-RA","רחובות-רעננה (מטרו)")</f>
        <v>לוד-כפרסבא (מטרו), רצועת הנופש-צומת חולון (BRT), צומת חולון-רצועת הנופש (BRT), כפר סבא-לוד (מטרו)</v>
      </c>
      <c r="BR66">
        <f>IF($AP66="ארצי",COUNTIFS($AP$2:$AP$143,"ארצי",$BK$2:$BK$143,"&gt;"&amp;$BK66)+1,COUNTIFS($AP$2:$AP$143,$AP66,$L$2:$L$143,$L66,$BK$2:$BK$143,"&gt;"&amp;$BK66)+1)</f>
        <v>47</v>
      </c>
    </row>
    <row r="67" spans="1:70" x14ac:dyDescent="0.25">
      <c r="A67">
        <v>100</v>
      </c>
      <c r="B67">
        <v>34.916011631741199</v>
      </c>
      <c r="C67">
        <v>32.200293452556998</v>
      </c>
      <c r="D67" t="s">
        <v>448</v>
      </c>
      <c r="E67" t="s">
        <v>449</v>
      </c>
      <c r="F67" t="s">
        <v>127</v>
      </c>
      <c r="G67" t="s">
        <v>128</v>
      </c>
      <c r="H67" t="s">
        <v>144</v>
      </c>
      <c r="I67" t="s">
        <v>145</v>
      </c>
      <c r="J67" t="s">
        <v>74</v>
      </c>
      <c r="K67" t="s">
        <v>75</v>
      </c>
      <c r="L67" t="s">
        <v>75</v>
      </c>
      <c r="M67" t="s">
        <v>131</v>
      </c>
      <c r="N67" t="s">
        <v>132</v>
      </c>
      <c r="O67">
        <v>14080.48</v>
      </c>
      <c r="P67">
        <v>110.97</v>
      </c>
      <c r="Q67">
        <v>7.88112337079417E-3</v>
      </c>
      <c r="R67">
        <v>1</v>
      </c>
      <c r="S67">
        <v>0</v>
      </c>
      <c r="T67">
        <v>0</v>
      </c>
      <c r="U67">
        <v>0</v>
      </c>
      <c r="V67">
        <v>0</v>
      </c>
      <c r="W67">
        <v>1</v>
      </c>
      <c r="X67">
        <v>0</v>
      </c>
      <c r="Y67">
        <v>0</v>
      </c>
      <c r="Z67">
        <v>827.167511919817</v>
      </c>
      <c r="AA67">
        <v>407.31095877396598</v>
      </c>
      <c r="AB67">
        <v>5121.0635410577997</v>
      </c>
      <c r="AC67">
        <v>1824.78704014593</v>
      </c>
      <c r="AD67">
        <v>3987.5851459452801</v>
      </c>
      <c r="AE67">
        <v>1385.0244698725201</v>
      </c>
      <c r="AF67">
        <v>9935.8161989229102</v>
      </c>
      <c r="AG67">
        <v>3617.12246879242</v>
      </c>
      <c r="AH67">
        <v>0</v>
      </c>
      <c r="AI67">
        <v>2</v>
      </c>
      <c r="AJ67">
        <v>0</v>
      </c>
      <c r="AK67">
        <v>2</v>
      </c>
      <c r="AL67">
        <v>9.9</v>
      </c>
      <c r="AM67">
        <v>0</v>
      </c>
      <c r="AN67" t="s">
        <v>133</v>
      </c>
      <c r="AO67" t="b">
        <v>0</v>
      </c>
      <c r="AP67" t="s">
        <v>133</v>
      </c>
      <c r="AQ67">
        <v>0</v>
      </c>
      <c r="AR67">
        <v>1</v>
      </c>
      <c r="AS67">
        <v>1</v>
      </c>
      <c r="AT67">
        <v>1</v>
      </c>
      <c r="AU67">
        <v>7.4300024630164101</v>
      </c>
      <c r="AV67">
        <v>1.2018876426788301</v>
      </c>
      <c r="AW67">
        <v>3.3468610250957398</v>
      </c>
      <c r="AX67">
        <v>67</v>
      </c>
      <c r="AY67">
        <v>17</v>
      </c>
      <c r="AZ67">
        <v>2</v>
      </c>
      <c r="BA67">
        <v>0</v>
      </c>
      <c r="BB67">
        <v>0</v>
      </c>
      <c r="BC67">
        <v>2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2</v>
      </c>
      <c r="BJ67">
        <v>2</v>
      </c>
      <c r="BK67">
        <v>3.3468610250957398</v>
      </c>
      <c r="BL67">
        <v>67</v>
      </c>
      <c r="BM67">
        <v>17</v>
      </c>
      <c r="BN67">
        <v>4.1486174600474301</v>
      </c>
      <c r="BO67">
        <v>4880.8612148185202</v>
      </c>
      <c r="BP67" t="s">
        <v>450</v>
      </c>
      <c r="BQ67" t="str">
        <f>SUBSTITUTE(SUBSTITUTE(SUBSTITUTE(SUBSTITUTE(SUBSTITUTE(SUBSTITUTE(SUBSTITUTE(I67,"[",""),"]",""),"'",""),"M1-LOD-KS","לוד-כפרסבא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67">
        <f>IF($AP67="ארצי",COUNTIFS($AP$2:$AP$143,"ארצי",$BK$2:$BK$143,"&gt;"&amp;$BK67)+1,COUNTIFS($AP$2:$AP$143,$AP67,$L$2:$L$143,$L67,$BK$2:$BK$143,"&gt;"&amp;$BK67)+1)</f>
        <v>17</v>
      </c>
    </row>
    <row r="68" spans="1:70" x14ac:dyDescent="0.25">
      <c r="A68">
        <v>678</v>
      </c>
      <c r="B68">
        <v>34.758030887031097</v>
      </c>
      <c r="C68">
        <v>31.988070937336001</v>
      </c>
      <c r="D68" t="s">
        <v>457</v>
      </c>
      <c r="E68" t="s">
        <v>451</v>
      </c>
      <c r="F68" t="s">
        <v>452</v>
      </c>
      <c r="G68" t="s">
        <v>453</v>
      </c>
      <c r="H68" t="s">
        <v>454</v>
      </c>
      <c r="I68" t="s">
        <v>455</v>
      </c>
      <c r="J68" t="s">
        <v>74</v>
      </c>
      <c r="K68" t="s">
        <v>75</v>
      </c>
      <c r="L68" t="s">
        <v>75</v>
      </c>
      <c r="M68" t="s">
        <v>216</v>
      </c>
      <c r="N68" t="s">
        <v>132</v>
      </c>
      <c r="O68">
        <v>70644.429999999993</v>
      </c>
      <c r="P68">
        <v>46215.67</v>
      </c>
      <c r="Q68">
        <v>0.654201187552932</v>
      </c>
      <c r="R68">
        <v>0</v>
      </c>
      <c r="S68">
        <v>0</v>
      </c>
      <c r="T68">
        <v>0</v>
      </c>
      <c r="U68">
        <v>0</v>
      </c>
      <c r="V68">
        <v>0</v>
      </c>
      <c r="W68">
        <v>11</v>
      </c>
      <c r="X68">
        <v>0</v>
      </c>
      <c r="Y68">
        <v>4</v>
      </c>
      <c r="Z68">
        <v>4044.2315826335898</v>
      </c>
      <c r="AA68">
        <v>15045.7614311467</v>
      </c>
      <c r="AB68">
        <v>10805.8424483813</v>
      </c>
      <c r="AC68">
        <v>20950.6267540271</v>
      </c>
      <c r="AD68">
        <v>6727.4816700189203</v>
      </c>
      <c r="AE68">
        <v>10881.3259691402</v>
      </c>
      <c r="AF68">
        <v>21577.555701033802</v>
      </c>
      <c r="AG68">
        <v>46877.714154314097</v>
      </c>
      <c r="AH68">
        <v>0</v>
      </c>
      <c r="AI68">
        <v>2</v>
      </c>
      <c r="AJ68">
        <v>0</v>
      </c>
      <c r="AK68">
        <v>2</v>
      </c>
      <c r="AL68">
        <v>86.9</v>
      </c>
      <c r="AM68">
        <v>0</v>
      </c>
      <c r="AN68" t="s">
        <v>103</v>
      </c>
      <c r="AO68" t="b">
        <v>0</v>
      </c>
      <c r="AP68" t="s">
        <v>103</v>
      </c>
      <c r="AQ68">
        <v>0</v>
      </c>
      <c r="AR68">
        <v>1</v>
      </c>
      <c r="AS68">
        <v>2.9570742728042898</v>
      </c>
      <c r="AT68">
        <v>1</v>
      </c>
      <c r="AU68">
        <v>6.7809560509753704</v>
      </c>
      <c r="AV68">
        <v>2.97870720018707</v>
      </c>
      <c r="AW68">
        <v>3.2959974939291499</v>
      </c>
      <c r="AX68">
        <v>68</v>
      </c>
      <c r="AY68">
        <v>29</v>
      </c>
      <c r="AZ68">
        <v>15</v>
      </c>
      <c r="BA68">
        <v>2</v>
      </c>
      <c r="BB68">
        <v>0</v>
      </c>
      <c r="BC68">
        <v>0</v>
      </c>
      <c r="BD68">
        <v>0</v>
      </c>
      <c r="BE68">
        <v>0</v>
      </c>
      <c r="BF68">
        <v>4</v>
      </c>
      <c r="BG68">
        <v>1</v>
      </c>
      <c r="BH68">
        <v>0</v>
      </c>
      <c r="BI68">
        <v>7</v>
      </c>
      <c r="BJ68">
        <v>15</v>
      </c>
      <c r="BK68">
        <v>3.2959974939291499</v>
      </c>
      <c r="BL68">
        <v>68</v>
      </c>
      <c r="BM68">
        <v>29</v>
      </c>
      <c r="BN68">
        <v>4.8490779253406098</v>
      </c>
      <c r="BO68">
        <v>41817.682463657999</v>
      </c>
      <c r="BP68" t="s">
        <v>456</v>
      </c>
      <c r="BQ68" t="str">
        <f>SUBSTITUTE(SUBSTITUTE(SUBSTITUTE(SUBSTITUTE(SUBSTITUTE(SUBSTITUTE(SUBSTITUTE(I68,"[",""),"]",""),"'",""),"M1-LOD-KS","לוד-כפרסבא (מטרו)"),"M1-KS-LOD","כפר סבא-לוד (מטרו)"),"M1-RA-RE","רעננה-רחובות (מטרו)"),"M1-RE-RA","רחובות-רעננה (מטרו)")</f>
        <v>מודיעין-באר שבע (רכבת פרברית), אסף הרופא-חוף ראשל"צ (רק"ל), זיכרון יעקב-שוקת (רכבת פרברית), באר שבע-מודיעין (רכבת פרברית), אסף הרופא-מתחם ה-1000 (רק"ל), מתחם ה-1000-אסף הרופא (רק"ל), חוף ראשל"צ-אסף הרופא (רק"ל), שוקת-זיכרון יעקב (רכבת פרברית), ראשל"צ-עתידים (רק"ל), ראשל"צ-פ"ת (קרית אריה) (רק"ל), ראשל"צ-פ"ת (רק"ל)</v>
      </c>
      <c r="BR68">
        <f>IF($AP68="ארצי",COUNTIFS($AP$2:$AP$143,"ארצי",$BK$2:$BK$143,"&gt;"&amp;$BK68)+1,COUNTIFS($AP$2:$AP$143,$AP68,$L$2:$L$143,$L68,$BK$2:$BK$143,"&gt;"&amp;$BK68)+1)</f>
        <v>17</v>
      </c>
    </row>
    <row r="69" spans="1:70" x14ac:dyDescent="0.25">
      <c r="A69">
        <v>142</v>
      </c>
      <c r="B69">
        <v>34.8605503237888</v>
      </c>
      <c r="C69">
        <v>32.262765939969903</v>
      </c>
      <c r="D69" t="s">
        <v>458</v>
      </c>
      <c r="E69" t="s">
        <v>459</v>
      </c>
      <c r="F69" t="s">
        <v>121</v>
      </c>
      <c r="G69" t="s">
        <v>122</v>
      </c>
      <c r="H69" t="s">
        <v>460</v>
      </c>
      <c r="I69" t="s">
        <v>461</v>
      </c>
      <c r="J69" t="s">
        <v>74</v>
      </c>
      <c r="K69" t="s">
        <v>75</v>
      </c>
      <c r="L69" t="s">
        <v>75</v>
      </c>
      <c r="M69" t="s">
        <v>131</v>
      </c>
      <c r="N69" t="s">
        <v>132</v>
      </c>
      <c r="O69">
        <v>28119</v>
      </c>
      <c r="P69">
        <v>12202</v>
      </c>
      <c r="Q69">
        <v>0.433941463067676</v>
      </c>
      <c r="R69">
        <v>0</v>
      </c>
      <c r="S69">
        <v>0</v>
      </c>
      <c r="T69">
        <v>0</v>
      </c>
      <c r="U69">
        <v>0</v>
      </c>
      <c r="V69">
        <v>0</v>
      </c>
      <c r="W69">
        <v>4</v>
      </c>
      <c r="X69">
        <v>0</v>
      </c>
      <c r="Y69">
        <v>4</v>
      </c>
      <c r="Z69">
        <v>673.99275554436599</v>
      </c>
      <c r="AA69">
        <v>327.31792231368598</v>
      </c>
      <c r="AB69">
        <v>1438.8958006790001</v>
      </c>
      <c r="AC69">
        <v>666.40335793561303</v>
      </c>
      <c r="AD69">
        <v>1063.2012702828099</v>
      </c>
      <c r="AE69">
        <v>2535.6515912192699</v>
      </c>
      <c r="AF69">
        <v>3176.0898265061801</v>
      </c>
      <c r="AG69">
        <v>3529.3728714685699</v>
      </c>
      <c r="AH69">
        <v>0</v>
      </c>
      <c r="AI69">
        <v>2</v>
      </c>
      <c r="AJ69">
        <v>0</v>
      </c>
      <c r="AK69">
        <v>2</v>
      </c>
      <c r="AL69">
        <v>48.4</v>
      </c>
      <c r="AM69">
        <v>2</v>
      </c>
      <c r="AN69" t="s">
        <v>103</v>
      </c>
      <c r="AO69" t="b">
        <v>0</v>
      </c>
      <c r="AP69" t="s">
        <v>103</v>
      </c>
      <c r="AQ69">
        <v>2</v>
      </c>
      <c r="AR69">
        <v>1</v>
      </c>
      <c r="AS69">
        <v>1.97853713640214</v>
      </c>
      <c r="AT69">
        <v>7</v>
      </c>
      <c r="AU69">
        <v>4.7500419710675903</v>
      </c>
      <c r="AV69">
        <v>1.1334763696050001</v>
      </c>
      <c r="AW69">
        <v>3.2894061666529701</v>
      </c>
      <c r="AX69">
        <v>69</v>
      </c>
      <c r="AY69">
        <v>30</v>
      </c>
      <c r="AZ69">
        <v>8</v>
      </c>
      <c r="BA69">
        <v>0</v>
      </c>
      <c r="BB69">
        <v>0</v>
      </c>
      <c r="BC69">
        <v>4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4</v>
      </c>
      <c r="BJ69">
        <v>8</v>
      </c>
      <c r="BK69">
        <v>3.2894061666529701</v>
      </c>
      <c r="BL69">
        <v>69</v>
      </c>
      <c r="BM69">
        <v>30</v>
      </c>
      <c r="BN69">
        <v>4.4489998717459196</v>
      </c>
      <c r="BO69">
        <v>3458.7162624760899</v>
      </c>
      <c r="BP69" t="s">
        <v>462</v>
      </c>
      <c r="BQ69" t="str">
        <f>SUBSTITUTE(SUBSTITUTE(SUBSTITUTE(SUBSTITUTE(SUBSTITUTE(SUBSTITUTE(SUBSTITUTE(I69,"[",""),"]",""),"'",""),"M1-LOD-KS","לוד-כפרסבא (מטרו)"),"M1-KS-LOD","כפר סבא-לוד (מטרו)"),"M1-RA-RE","רעננה-רחובות (מטרו)"),"M1-RE-RA","רחובות-רעננה (מטרו)")</f>
        <v>נתניה-ירושלים (רכבת פרברית), זיכרון יעקב-שוקת (רכבת פרברית), שוקת-זיכרון יעקב (רכבת פרברית), ירושלים-נתניה (רכבת פרברית), הרצליה-נתניה מזרח (רק"ל), נתניה מזרח-הרצליה (רק"ל), נתניה מערב-הרצליה (רק"ל), הרצליה-נתניה מערב (רק"ל)</v>
      </c>
      <c r="BR69">
        <f>IF($AP69="ארצי",COUNTIFS($AP$2:$AP$143,"ארצי",$BK$2:$BK$143,"&gt;"&amp;$BK69)+1,COUNTIFS($AP$2:$AP$143,$AP69,$L$2:$L$143,$L69,$BK$2:$BK$143,"&gt;"&amp;$BK69)+1)</f>
        <v>18</v>
      </c>
    </row>
    <row r="70" spans="1:70" x14ac:dyDescent="0.25">
      <c r="A70">
        <v>169</v>
      </c>
      <c r="B70">
        <v>34.806337405524303</v>
      </c>
      <c r="C70">
        <v>32.163196821109899</v>
      </c>
      <c r="D70" t="s">
        <v>469</v>
      </c>
      <c r="E70" t="s">
        <v>463</v>
      </c>
      <c r="F70" t="s">
        <v>464</v>
      </c>
      <c r="G70" t="s">
        <v>465</v>
      </c>
      <c r="H70" t="s">
        <v>466</v>
      </c>
      <c r="I70" t="s">
        <v>467</v>
      </c>
      <c r="J70" t="s">
        <v>74</v>
      </c>
      <c r="K70" t="s">
        <v>75</v>
      </c>
      <c r="L70" t="s">
        <v>75</v>
      </c>
      <c r="M70" t="s">
        <v>139</v>
      </c>
      <c r="N70" t="s">
        <v>132</v>
      </c>
      <c r="O70">
        <v>169505.03</v>
      </c>
      <c r="P70">
        <v>162895.31</v>
      </c>
      <c r="Q70">
        <v>0.96100575894414397</v>
      </c>
      <c r="R70">
        <v>2</v>
      </c>
      <c r="S70">
        <v>0</v>
      </c>
      <c r="T70">
        <v>0</v>
      </c>
      <c r="U70">
        <v>0</v>
      </c>
      <c r="V70">
        <v>0</v>
      </c>
      <c r="W70">
        <v>3</v>
      </c>
      <c r="X70">
        <v>2</v>
      </c>
      <c r="Y70">
        <v>0</v>
      </c>
      <c r="Z70">
        <v>8163.9753370033204</v>
      </c>
      <c r="AA70">
        <v>16259.597585114199</v>
      </c>
      <c r="AB70">
        <v>11832.773460254</v>
      </c>
      <c r="AC70">
        <v>19281.940539781201</v>
      </c>
      <c r="AD70">
        <v>7105.6688563672997</v>
      </c>
      <c r="AE70">
        <v>11135.5464074017</v>
      </c>
      <c r="AF70">
        <v>27102.4176536247</v>
      </c>
      <c r="AG70">
        <v>46677.084532297202</v>
      </c>
      <c r="AH70">
        <v>0</v>
      </c>
      <c r="AI70">
        <v>2</v>
      </c>
      <c r="AJ70">
        <v>0</v>
      </c>
      <c r="AK70">
        <v>3</v>
      </c>
      <c r="AL70">
        <v>42</v>
      </c>
      <c r="AM70">
        <v>0</v>
      </c>
      <c r="AN70" t="s">
        <v>103</v>
      </c>
      <c r="AO70" t="b">
        <v>0</v>
      </c>
      <c r="AP70" t="s">
        <v>103</v>
      </c>
      <c r="AQ70">
        <v>0</v>
      </c>
      <c r="AR70">
        <v>1</v>
      </c>
      <c r="AS70">
        <v>1.81587122281841</v>
      </c>
      <c r="AT70">
        <v>1</v>
      </c>
      <c r="AU70">
        <v>8.7104793249691692</v>
      </c>
      <c r="AV70">
        <v>3.0241401959963601</v>
      </c>
      <c r="AW70">
        <v>3.2694854406642802</v>
      </c>
      <c r="AX70">
        <v>70</v>
      </c>
      <c r="AY70">
        <v>31</v>
      </c>
      <c r="AZ70">
        <v>7</v>
      </c>
      <c r="BA70">
        <v>2</v>
      </c>
      <c r="BB70">
        <v>0</v>
      </c>
      <c r="BC70">
        <v>2</v>
      </c>
      <c r="BD70">
        <v>0</v>
      </c>
      <c r="BE70">
        <v>0</v>
      </c>
      <c r="BF70">
        <v>2</v>
      </c>
      <c r="BG70">
        <v>1</v>
      </c>
      <c r="BH70">
        <v>0</v>
      </c>
      <c r="BI70">
        <v>7</v>
      </c>
      <c r="BJ70">
        <v>7</v>
      </c>
      <c r="BK70">
        <v>3.2694854406642802</v>
      </c>
      <c r="BL70">
        <v>70</v>
      </c>
      <c r="BM70">
        <v>31</v>
      </c>
      <c r="BN70">
        <v>5.2291825902608204</v>
      </c>
      <c r="BO70">
        <v>42762.151156562701</v>
      </c>
      <c r="BP70" t="s">
        <v>468</v>
      </c>
      <c r="BQ70" t="str">
        <f>SUBSTITUTE(SUBSTITUTE(SUBSTITUTE(SUBSTITUTE(SUBSTITUTE(SUBSTITUTE(SUBSTITUTE(I70,"[",""),"]",""),"'",""),"M1-LOD-KS","לוד-כפרסבא (מטרו)"),"M1-KS-LOD","כפר סבא-לוד (מטרו)"),"M1-RA-RE","רעננה-רחובות (מטרו)"),"M1-RE-RA","רחובות-רעננה (מטרו)")</f>
        <v>כפר סבא-הרצליה (BRT), הרצליה-כפר סבא (BRT), הרצליה-חולון (רק"ל), הרצליה-נתניה מזרח (רק"ל), הרצליה-נתניה מערב (רק"ל), הרצליה-בת ים (מטרו), בת ים-הרצליה (מטרו)</v>
      </c>
      <c r="BR70">
        <f>IF($AP70="ארצי",COUNTIFS($AP$2:$AP$143,"ארצי",$BK$2:$BK$143,"&gt;"&amp;$BK70)+1,COUNTIFS($AP$2:$AP$143,$AP70,$L$2:$L$143,$L70,$BK$2:$BK$143,"&gt;"&amp;$BK70)+1)</f>
        <v>19</v>
      </c>
    </row>
    <row r="71" spans="1:70" x14ac:dyDescent="0.25">
      <c r="A71">
        <v>214</v>
      </c>
      <c r="B71">
        <v>35.299463474735703</v>
      </c>
      <c r="C71">
        <v>32.693331866597703</v>
      </c>
      <c r="D71" t="s">
        <v>470</v>
      </c>
      <c r="E71" t="s">
        <v>471</v>
      </c>
      <c r="F71" t="s">
        <v>472</v>
      </c>
      <c r="G71" t="s">
        <v>473</v>
      </c>
      <c r="H71" t="s">
        <v>474</v>
      </c>
      <c r="I71" t="s">
        <v>475</v>
      </c>
      <c r="J71" t="s">
        <v>74</v>
      </c>
      <c r="K71" t="s">
        <v>368</v>
      </c>
      <c r="L71" t="s">
        <v>368</v>
      </c>
      <c r="M71" t="s">
        <v>369</v>
      </c>
      <c r="N71" t="s">
        <v>278</v>
      </c>
      <c r="O71">
        <v>5225.7329523199996</v>
      </c>
      <c r="P71">
        <v>4240.3904505299997</v>
      </c>
      <c r="Q71">
        <v>0.81144415323547003</v>
      </c>
      <c r="R71">
        <v>14.5</v>
      </c>
      <c r="S71">
        <v>0</v>
      </c>
      <c r="T71">
        <v>0</v>
      </c>
      <c r="U71">
        <v>0</v>
      </c>
      <c r="V71">
        <v>0</v>
      </c>
      <c r="W71">
        <v>2.5</v>
      </c>
      <c r="X71">
        <v>0</v>
      </c>
      <c r="Y71">
        <v>0</v>
      </c>
      <c r="Z71">
        <v>9499.5043567124503</v>
      </c>
      <c r="AA71">
        <v>6661.2911455331496</v>
      </c>
      <c r="AB71">
        <v>13405.5588733736</v>
      </c>
      <c r="AC71">
        <v>7683.9811606150097</v>
      </c>
      <c r="AD71">
        <v>7915.5234706899901</v>
      </c>
      <c r="AE71">
        <v>3675.6206208539202</v>
      </c>
      <c r="AF71">
        <v>30820.586700775999</v>
      </c>
      <c r="AG71">
        <v>18020.892927002002</v>
      </c>
      <c r="AH71">
        <v>1</v>
      </c>
      <c r="AI71">
        <v>1</v>
      </c>
      <c r="AJ71">
        <v>1</v>
      </c>
      <c r="AK71">
        <v>2</v>
      </c>
      <c r="AL71">
        <v>77.55</v>
      </c>
      <c r="AM71">
        <v>0</v>
      </c>
      <c r="AN71" t="s">
        <v>140</v>
      </c>
      <c r="AO71" t="b">
        <v>0</v>
      </c>
      <c r="AP71" t="s">
        <v>140</v>
      </c>
      <c r="AQ71">
        <v>0</v>
      </c>
      <c r="AR71">
        <v>4</v>
      </c>
      <c r="AS71">
        <v>2.7194295396780501</v>
      </c>
      <c r="AT71">
        <v>1</v>
      </c>
      <c r="AU71">
        <v>4.0464535427445298</v>
      </c>
      <c r="AV71">
        <v>2.3265556815041202</v>
      </c>
      <c r="AW71">
        <v>3.2648329288084801</v>
      </c>
      <c r="AX71">
        <v>72</v>
      </c>
      <c r="AY71">
        <v>10</v>
      </c>
      <c r="AZ71">
        <v>17</v>
      </c>
      <c r="BA71">
        <v>5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2</v>
      </c>
      <c r="BH71">
        <v>0</v>
      </c>
      <c r="BI71">
        <v>7</v>
      </c>
      <c r="BJ71">
        <v>17</v>
      </c>
      <c r="BK71">
        <v>3.2648329288084801</v>
      </c>
      <c r="BL71">
        <v>72</v>
      </c>
      <c r="BM71">
        <v>10</v>
      </c>
      <c r="BN71">
        <v>3.7181472124527</v>
      </c>
      <c r="BO71">
        <v>28260.647946021199</v>
      </c>
      <c r="BP71" t="s">
        <v>476</v>
      </c>
      <c r="BQ71" t="str">
        <f>SUBSTITUTE(SUBSTITUTE(SUBSTITUTE(SUBSTITUTE(SUBSTITUTE(SUBSTITUTE(SUBSTITUTE(I71,"[",""),"]",""),"'",""),"M1-LOD-KS","לוד-כפרסבא (מטרו)"),"M1-KS-LOD","כפר סבא-לוד (מטרו)"),"M1-RA-RE","רעננה-רחובות (מטרו)"),"M1-RE-RA","רחובות-רעננה (מטרו)")</f>
        <v>כפר ברוך-נצרת (BRT), נצרת-כפר ברוך (BRT), נצרת-עפולה (BRT), עפולה-נצרת (BRT), נצרת-חוף הכרמל (רק"ל), נצרת-מרכזית המפרץ (רק"ל), נצרת-אחיהוד (רק"ל)</v>
      </c>
      <c r="BR71">
        <f>IF($AP71="ארצי",COUNTIFS($AP$2:$AP$143,"ארצי",$BK$2:$BK$143,"&gt;"&amp;$BK71)+1,COUNTIFS($AP$2:$AP$143,$AP71,$L$2:$L$143,$L71,$BK$2:$BK$143,"&gt;"&amp;$BK71)+1)</f>
        <v>1</v>
      </c>
    </row>
    <row r="72" spans="1:70" x14ac:dyDescent="0.25">
      <c r="A72">
        <v>123</v>
      </c>
      <c r="B72">
        <v>34.864039903334898</v>
      </c>
      <c r="C72">
        <v>32.146618991440903</v>
      </c>
      <c r="D72" t="s">
        <v>477</v>
      </c>
      <c r="E72" t="s">
        <v>478</v>
      </c>
      <c r="F72" t="s">
        <v>313</v>
      </c>
      <c r="G72" t="s">
        <v>314</v>
      </c>
      <c r="H72" t="s">
        <v>479</v>
      </c>
      <c r="I72" t="s">
        <v>480</v>
      </c>
      <c r="J72" t="s">
        <v>74</v>
      </c>
      <c r="K72" t="s">
        <v>75</v>
      </c>
      <c r="L72" t="s">
        <v>75</v>
      </c>
      <c r="M72" t="s">
        <v>216</v>
      </c>
      <c r="N72" t="s">
        <v>132</v>
      </c>
      <c r="O72">
        <v>8636.11</v>
      </c>
      <c r="P72">
        <v>1361.34</v>
      </c>
      <c r="Q72">
        <v>0.15763347155142701</v>
      </c>
      <c r="R72">
        <v>2</v>
      </c>
      <c r="S72">
        <v>0</v>
      </c>
      <c r="T72">
        <v>0</v>
      </c>
      <c r="U72">
        <v>0</v>
      </c>
      <c r="V72">
        <v>0</v>
      </c>
      <c r="W72">
        <v>0</v>
      </c>
      <c r="X72">
        <v>2</v>
      </c>
      <c r="Y72">
        <v>0</v>
      </c>
      <c r="Z72">
        <v>981.376795810163</v>
      </c>
      <c r="AA72">
        <v>3337.97503991143</v>
      </c>
      <c r="AB72">
        <v>12949.651742906301</v>
      </c>
      <c r="AC72">
        <v>8219.1163630995707</v>
      </c>
      <c r="AD72">
        <v>17147.535021706899</v>
      </c>
      <c r="AE72">
        <v>7197.1481198255597</v>
      </c>
      <c r="AF72">
        <v>31078.563560423401</v>
      </c>
      <c r="AG72">
        <v>18754.239522836499</v>
      </c>
      <c r="AH72">
        <v>0</v>
      </c>
      <c r="AI72">
        <v>2</v>
      </c>
      <c r="AJ72">
        <v>0</v>
      </c>
      <c r="AK72">
        <v>2</v>
      </c>
      <c r="AL72">
        <v>22</v>
      </c>
      <c r="AM72">
        <v>3</v>
      </c>
      <c r="AN72" t="s">
        <v>103</v>
      </c>
      <c r="AO72" t="b">
        <v>0</v>
      </c>
      <c r="AP72" t="s">
        <v>103</v>
      </c>
      <c r="AQ72">
        <v>3</v>
      </c>
      <c r="AR72">
        <v>1</v>
      </c>
      <c r="AS72">
        <v>1.30754024286924</v>
      </c>
      <c r="AT72">
        <v>10</v>
      </c>
      <c r="AU72">
        <v>2.1475185720118501</v>
      </c>
      <c r="AV72">
        <v>1.9878272260402301</v>
      </c>
      <c r="AW72">
        <v>3.21552288586253</v>
      </c>
      <c r="AX72">
        <v>73</v>
      </c>
      <c r="AY72">
        <v>33</v>
      </c>
      <c r="AZ72">
        <v>4</v>
      </c>
      <c r="BA72">
        <v>0</v>
      </c>
      <c r="BB72">
        <v>0</v>
      </c>
      <c r="BC72">
        <v>2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2</v>
      </c>
      <c r="BJ72">
        <v>4</v>
      </c>
      <c r="BK72">
        <v>3.21552288586253</v>
      </c>
      <c r="BL72">
        <v>73</v>
      </c>
      <c r="BM72">
        <v>33</v>
      </c>
      <c r="BN72">
        <v>3.9363181654001198</v>
      </c>
      <c r="BO72">
        <v>21219.104330353901</v>
      </c>
      <c r="BP72" t="s">
        <v>481</v>
      </c>
      <c r="BQ72" t="str">
        <f>SUBSTITUTE(SUBSTITUTE(SUBSTITUTE(SUBSTITUTE(SUBSTITUTE(SUBSTITUTE(SUBSTITUTE(I72,"[",""),"]",""),"'",""),"M1-LOD-KS","לוד-כפרסבא (מטרו)"),"M1-KS-LOD","כפר סבא-לוד (מטרו)"),"M1-RA-RE","רעננה-רחובות (מטרו)"),"M1-RE-RA","רחובות-רעננה (מטרו)")</f>
        <v>לוד-כפרסבא (מטרו), רצועת הנופש-צומת חולון (BRT), צומת חולון-רצועת הנופש (BRT), כפר סבא-לוד (מטרו)</v>
      </c>
      <c r="BR72">
        <f>IF($AP72="ארצי",COUNTIFS($AP$2:$AP$143,"ארצי",$BK$2:$BK$143,"&gt;"&amp;$BK72)+1,COUNTIFS($AP$2:$AP$143,$AP72,$L$2:$L$143,$L72,$BK$2:$BK$143,"&gt;"&amp;$BK72)+1)</f>
        <v>20</v>
      </c>
    </row>
    <row r="73" spans="1:70" x14ac:dyDescent="0.25">
      <c r="A73">
        <v>431</v>
      </c>
      <c r="B73">
        <v>34.860312199691499</v>
      </c>
      <c r="C73">
        <v>32.073312500452303</v>
      </c>
      <c r="D73" t="s">
        <v>482</v>
      </c>
      <c r="E73" t="s">
        <v>483</v>
      </c>
      <c r="F73" t="s">
        <v>484</v>
      </c>
      <c r="G73" t="s">
        <v>485</v>
      </c>
      <c r="H73" t="s">
        <v>486</v>
      </c>
      <c r="I73" t="s">
        <v>487</v>
      </c>
      <c r="J73" t="s">
        <v>74</v>
      </c>
      <c r="K73" t="s">
        <v>75</v>
      </c>
      <c r="L73" t="s">
        <v>75</v>
      </c>
      <c r="M73" t="s">
        <v>216</v>
      </c>
      <c r="N73" t="s">
        <v>132</v>
      </c>
      <c r="O73">
        <v>304235.95</v>
      </c>
      <c r="P73">
        <v>289117.96000000002</v>
      </c>
      <c r="Q73">
        <v>0.95030833798569803</v>
      </c>
      <c r="R73">
        <v>0</v>
      </c>
      <c r="S73">
        <v>0</v>
      </c>
      <c r="T73">
        <v>0</v>
      </c>
      <c r="U73">
        <v>0</v>
      </c>
      <c r="V73">
        <v>0</v>
      </c>
      <c r="W73">
        <v>1.5</v>
      </c>
      <c r="X73">
        <v>3.5</v>
      </c>
      <c r="Y73">
        <v>0</v>
      </c>
      <c r="Z73">
        <v>15858.9209223201</v>
      </c>
      <c r="AA73">
        <v>3098.72821749799</v>
      </c>
      <c r="AB73">
        <v>23497.9893726062</v>
      </c>
      <c r="AC73">
        <v>11411.7894617324</v>
      </c>
      <c r="AD73">
        <v>15021.418612780901</v>
      </c>
      <c r="AE73">
        <v>8687.0224010675793</v>
      </c>
      <c r="AF73">
        <v>54378.328907707401</v>
      </c>
      <c r="AG73">
        <v>23197.540080298</v>
      </c>
      <c r="AH73">
        <v>0</v>
      </c>
      <c r="AI73">
        <v>2</v>
      </c>
      <c r="AJ73">
        <v>0</v>
      </c>
      <c r="AK73">
        <v>2</v>
      </c>
      <c r="AL73">
        <v>31.35</v>
      </c>
      <c r="AM73">
        <v>0</v>
      </c>
      <c r="AN73" t="s">
        <v>103</v>
      </c>
      <c r="AO73" t="b">
        <v>0</v>
      </c>
      <c r="AP73" t="s">
        <v>103</v>
      </c>
      <c r="AQ73">
        <v>0</v>
      </c>
      <c r="AR73">
        <v>1</v>
      </c>
      <c r="AS73">
        <v>1.5451849759954801</v>
      </c>
      <c r="AT73">
        <v>1</v>
      </c>
      <c r="AU73">
        <v>10</v>
      </c>
      <c r="AV73">
        <v>2.3829844139546599</v>
      </c>
      <c r="AW73">
        <v>3.1804973067834901</v>
      </c>
      <c r="AX73">
        <v>74</v>
      </c>
      <c r="AY73">
        <v>34</v>
      </c>
      <c r="AZ73">
        <v>5</v>
      </c>
      <c r="BA73">
        <v>0</v>
      </c>
      <c r="BB73">
        <v>2</v>
      </c>
      <c r="BC73">
        <v>0</v>
      </c>
      <c r="BD73">
        <v>0</v>
      </c>
      <c r="BE73">
        <v>0</v>
      </c>
      <c r="BF73">
        <v>2</v>
      </c>
      <c r="BG73">
        <v>0</v>
      </c>
      <c r="BH73">
        <v>0</v>
      </c>
      <c r="BI73">
        <v>4</v>
      </c>
      <c r="BJ73">
        <v>5</v>
      </c>
      <c r="BK73">
        <v>3.1804973067834901</v>
      </c>
      <c r="BL73">
        <v>74</v>
      </c>
      <c r="BM73">
        <v>34</v>
      </c>
      <c r="BN73">
        <v>5.4832105310981101</v>
      </c>
      <c r="BO73">
        <v>29433.697845779901</v>
      </c>
      <c r="BP73" t="s">
        <v>488</v>
      </c>
      <c r="BQ73" t="str">
        <f>SUBSTITUTE(SUBSTITUTE(SUBSTITUTE(SUBSTITUTE(SUBSTITUTE(SUBSTITUTE(SUBSTITUTE(I73,"[",""),"]",""),"'",""),"M1-LOD-KS","לוד-כפרסבא (מטרו)"),"M1-KS-LOD","כפר סבא-לוד (מטרו)"),"M1-RA-RE","רעננה-רחובות (מטרו)"),"M1-RE-RA","רחובות-רעננה (מטרו)")</f>
        <v>צומת בילו-צומת רעננה (רק"ל), הרצליה-בת ים (מטרו), בת ים-הרצליה (מטרו), וולפסון-סגולה (מטרו), סגולה-וולפסון (מטרו)</v>
      </c>
      <c r="BR73">
        <f>IF($AP73="ארצי",COUNTIFS($AP$2:$AP$143,"ארצי",$BK$2:$BK$143,"&gt;"&amp;$BK73)+1,COUNTIFS($AP$2:$AP$143,$AP73,$L$2:$L$143,$L73,$BK$2:$BK$143,"&gt;"&amp;$BK73)+1)</f>
        <v>21</v>
      </c>
    </row>
    <row r="74" spans="1:70" x14ac:dyDescent="0.25">
      <c r="A74">
        <v>300</v>
      </c>
      <c r="B74">
        <v>34.842636339490703</v>
      </c>
      <c r="C74">
        <v>31.936179846603299</v>
      </c>
      <c r="D74" t="s">
        <v>743</v>
      </c>
      <c r="E74" t="s">
        <v>744</v>
      </c>
      <c r="F74" t="s">
        <v>728</v>
      </c>
      <c r="G74" t="s">
        <v>729</v>
      </c>
      <c r="H74" t="s">
        <v>730</v>
      </c>
      <c r="I74" t="s">
        <v>731</v>
      </c>
      <c r="J74" t="s">
        <v>74</v>
      </c>
      <c r="K74" t="s">
        <v>75</v>
      </c>
      <c r="L74" t="s">
        <v>75</v>
      </c>
      <c r="M74" t="s">
        <v>216</v>
      </c>
      <c r="N74" t="s">
        <v>132</v>
      </c>
      <c r="O74">
        <v>3470.33</v>
      </c>
      <c r="P74">
        <v>2177.62</v>
      </c>
      <c r="Q74">
        <v>0.62749652050381299</v>
      </c>
      <c r="R74">
        <v>4</v>
      </c>
      <c r="S74">
        <v>0</v>
      </c>
      <c r="T74">
        <v>0</v>
      </c>
      <c r="U74">
        <v>0</v>
      </c>
      <c r="V74">
        <v>0</v>
      </c>
      <c r="W74">
        <v>0</v>
      </c>
      <c r="X74">
        <v>2</v>
      </c>
      <c r="Y74">
        <v>0</v>
      </c>
      <c r="Z74">
        <v>8668.4354360262696</v>
      </c>
      <c r="AA74">
        <v>2335.4493947587398</v>
      </c>
      <c r="AB74">
        <v>15755.2229604353</v>
      </c>
      <c r="AC74">
        <v>3845.75851459559</v>
      </c>
      <c r="AD74">
        <v>10319.8439334472</v>
      </c>
      <c r="AE74">
        <v>2366.93584256135</v>
      </c>
      <c r="AF74">
        <v>34743.502329908799</v>
      </c>
      <c r="AG74">
        <v>8548.1437519156898</v>
      </c>
      <c r="AH74">
        <v>0</v>
      </c>
      <c r="AI74">
        <v>2</v>
      </c>
      <c r="AJ74">
        <v>0</v>
      </c>
      <c r="AK74">
        <v>2</v>
      </c>
      <c r="AL74">
        <v>30.8</v>
      </c>
      <c r="AM74">
        <v>0</v>
      </c>
      <c r="AN74" t="s">
        <v>140</v>
      </c>
      <c r="AO74" t="b">
        <v>0</v>
      </c>
      <c r="AP74" t="s">
        <v>140</v>
      </c>
      <c r="AQ74">
        <v>0</v>
      </c>
      <c r="AR74">
        <v>1</v>
      </c>
      <c r="AS74">
        <v>1.5312058740468699</v>
      </c>
      <c r="AT74">
        <v>1</v>
      </c>
      <c r="AU74">
        <v>3.1749827564247899</v>
      </c>
      <c r="AV74">
        <v>2.3863869635577899</v>
      </c>
      <c r="AW74">
        <v>1.96311266199264</v>
      </c>
      <c r="AX74">
        <v>133</v>
      </c>
      <c r="AY74">
        <v>32</v>
      </c>
      <c r="AZ74">
        <v>6</v>
      </c>
      <c r="BA74">
        <v>0</v>
      </c>
      <c r="BB74">
        <v>0</v>
      </c>
      <c r="BC74">
        <v>2</v>
      </c>
      <c r="BD74">
        <v>0</v>
      </c>
      <c r="BE74">
        <v>0</v>
      </c>
      <c r="BF74">
        <v>2</v>
      </c>
      <c r="BG74">
        <v>0</v>
      </c>
      <c r="BH74">
        <v>0</v>
      </c>
      <c r="BI74">
        <v>4</v>
      </c>
      <c r="BJ74">
        <v>6</v>
      </c>
      <c r="BK74">
        <v>1.96311266199264</v>
      </c>
      <c r="BL74">
        <v>133</v>
      </c>
      <c r="BM74">
        <v>32</v>
      </c>
      <c r="BN74">
        <v>3.5403707746077799</v>
      </c>
      <c r="BO74">
        <v>29504.4306143102</v>
      </c>
      <c r="BP74" t="s">
        <v>803</v>
      </c>
      <c r="BQ74" t="str">
        <f>SUBSTITUTE(SUBSTITUTE(SUBSTITUTE(SUBSTITUTE(SUBSTITUTE(SUBSTITUTE(SUBSTITUTE(I74,"[",""),"]",""),"'",""),"M1-LOD-KS","לוד-כפרסבא (מטרו)"),"M1-KS-LOD","כפר סבא-לוד (מטרו)"),"M1-RA-RE","רעננה-רחובות (מטרו)"),"M1-RE-RA","רחובות-רעננה (מטרו)")</f>
        <v>אסף הרופא-אירפורט סיטי (BRT), אירפורא סיטי-אסף הרופא (BRT), לוד-כפרסבא (מטרו), רצועת הנופש-צומת חולון (BRT), צומת חולון-רצועת הנופש (BRT), כפר סבא-לוד (מטרו)</v>
      </c>
      <c r="BR74">
        <f>IF($AP74="ארצי",COUNTIFS($AP$2:$AP$143,"ארצי",$BK$2:$BK$143,"&gt;"&amp;$BK74)+1,COUNTIFS($AP$2:$AP$143,$AP74,$L$2:$L$143,$L74,$BK$2:$BK$143,"&gt;"&amp;$BK74)+1)</f>
        <v>16</v>
      </c>
    </row>
    <row r="75" spans="1:70" x14ac:dyDescent="0.25">
      <c r="A75">
        <v>636</v>
      </c>
      <c r="B75">
        <v>34.7533723510195</v>
      </c>
      <c r="C75">
        <v>32.015543379112401</v>
      </c>
      <c r="D75" t="s">
        <v>493</v>
      </c>
      <c r="E75" t="s">
        <v>494</v>
      </c>
      <c r="F75" t="s">
        <v>495</v>
      </c>
      <c r="G75" t="s">
        <v>496</v>
      </c>
      <c r="H75" t="s">
        <v>497</v>
      </c>
      <c r="I75" t="s">
        <v>498</v>
      </c>
      <c r="J75" t="s">
        <v>74</v>
      </c>
      <c r="K75" t="s">
        <v>75</v>
      </c>
      <c r="L75" t="s">
        <v>75</v>
      </c>
      <c r="M75" t="s">
        <v>139</v>
      </c>
      <c r="N75" t="s">
        <v>132</v>
      </c>
      <c r="O75">
        <v>166038.84999999899</v>
      </c>
      <c r="P75">
        <v>147924.20000000001</v>
      </c>
      <c r="Q75">
        <v>0.89090113548726702</v>
      </c>
      <c r="R75">
        <v>0</v>
      </c>
      <c r="S75">
        <v>0</v>
      </c>
      <c r="T75">
        <v>0</v>
      </c>
      <c r="U75">
        <v>0</v>
      </c>
      <c r="V75">
        <v>0</v>
      </c>
      <c r="W75">
        <v>4</v>
      </c>
      <c r="X75">
        <v>2</v>
      </c>
      <c r="Y75">
        <v>0</v>
      </c>
      <c r="Z75">
        <v>33629.734463954097</v>
      </c>
      <c r="AA75">
        <v>7399.9216196528796</v>
      </c>
      <c r="AB75">
        <v>57962.1005278023</v>
      </c>
      <c r="AC75">
        <v>10526.788844456099</v>
      </c>
      <c r="AD75">
        <v>37520.695903324398</v>
      </c>
      <c r="AE75">
        <v>7519.3106577374101</v>
      </c>
      <c r="AF75">
        <v>129112.530895081</v>
      </c>
      <c r="AG75">
        <v>25446.021121846399</v>
      </c>
      <c r="AH75">
        <v>0</v>
      </c>
      <c r="AI75">
        <v>2</v>
      </c>
      <c r="AJ75">
        <v>0</v>
      </c>
      <c r="AK75">
        <v>2</v>
      </c>
      <c r="AL75">
        <v>35.200000000000003</v>
      </c>
      <c r="AM75">
        <v>0</v>
      </c>
      <c r="AN75" t="s">
        <v>103</v>
      </c>
      <c r="AO75" t="b">
        <v>0</v>
      </c>
      <c r="AP75" t="s">
        <v>103</v>
      </c>
      <c r="AQ75">
        <v>0</v>
      </c>
      <c r="AR75">
        <v>1</v>
      </c>
      <c r="AS75">
        <v>1.6430386896356901</v>
      </c>
      <c r="AT75">
        <v>1</v>
      </c>
      <c r="AU75">
        <v>8.6649303752631397</v>
      </c>
      <c r="AV75">
        <v>3.1885208246865302</v>
      </c>
      <c r="AW75">
        <v>3.1605389776873301</v>
      </c>
      <c r="AX75">
        <v>76</v>
      </c>
      <c r="AY75">
        <v>35</v>
      </c>
      <c r="AZ75">
        <v>6</v>
      </c>
      <c r="BA75">
        <v>4</v>
      </c>
      <c r="BB75">
        <v>0</v>
      </c>
      <c r="BC75">
        <v>0</v>
      </c>
      <c r="BD75">
        <v>0</v>
      </c>
      <c r="BE75">
        <v>0</v>
      </c>
      <c r="BF75">
        <v>2</v>
      </c>
      <c r="BG75">
        <v>0</v>
      </c>
      <c r="BH75">
        <v>0</v>
      </c>
      <c r="BI75">
        <v>6</v>
      </c>
      <c r="BJ75">
        <v>6</v>
      </c>
      <c r="BK75">
        <v>3.1605389776873301</v>
      </c>
      <c r="BL75">
        <v>76</v>
      </c>
      <c r="BM75">
        <v>35</v>
      </c>
      <c r="BN75">
        <v>5.2202097167542698</v>
      </c>
      <c r="BO75">
        <v>46179.323076493303</v>
      </c>
      <c r="BP75" t="s">
        <v>499</v>
      </c>
      <c r="BQ75" t="str">
        <f>SUBSTITUTE(SUBSTITUTE(SUBSTITUTE(SUBSTITUTE(SUBSTITUTE(SUBSTITUTE(SUBSTITUTE(I75,"[",""),"]",""),"'",""),"M1-LOD-KS","לוד-כפרסבא (מטרו)"),"M1-KS-LOD","כפר סבא-לוד (מטרו)"),"M1-RA-RE","רעננה-רחובות (מטרו)"),"M1-RE-RA","רחובות-רעננה (מטרו)")</f>
        <v>הרצליה-בת ים (מטרו), בת ים-הרצליה (מטרו), ראשל"צ-פ"ת (קרית אריה) (רק"ל), פ"ת (קרית אריה)-ראשל"צ (רק"ל), פ"ת-ראשל"צ (רק"ל), ראשל"צ-פ"ת (רק"ל)</v>
      </c>
      <c r="BR75">
        <f>IF($AP75="ארצי",COUNTIFS($AP$2:$AP$143,"ארצי",$BK$2:$BK$143,"&gt;"&amp;$BK75)+1,COUNTIFS($AP$2:$AP$143,$AP75,$L$2:$L$143,$L75,$BK$2:$BK$143,"&gt;"&amp;$BK75)+1)</f>
        <v>22</v>
      </c>
    </row>
    <row r="76" spans="1:70" x14ac:dyDescent="0.25">
      <c r="A76">
        <v>148</v>
      </c>
      <c r="B76">
        <v>34.840535789667499</v>
      </c>
      <c r="C76">
        <v>32.273522848241001</v>
      </c>
      <c r="D76" t="s">
        <v>500</v>
      </c>
      <c r="E76" t="s">
        <v>501</v>
      </c>
      <c r="F76" t="s">
        <v>127</v>
      </c>
      <c r="G76" t="s">
        <v>128</v>
      </c>
      <c r="H76" t="s">
        <v>144</v>
      </c>
      <c r="I76" t="s">
        <v>145</v>
      </c>
      <c r="J76" t="s">
        <v>74</v>
      </c>
      <c r="K76" t="s">
        <v>75</v>
      </c>
      <c r="L76" t="s">
        <v>75</v>
      </c>
      <c r="M76" t="s">
        <v>131</v>
      </c>
      <c r="N76" t="s">
        <v>132</v>
      </c>
      <c r="O76">
        <v>3483.97</v>
      </c>
      <c r="P76">
        <v>1.34E-4</v>
      </c>
      <c r="Q76" s="1">
        <v>3.8461869648705303E-8</v>
      </c>
      <c r="R76">
        <v>1</v>
      </c>
      <c r="S76">
        <v>0</v>
      </c>
      <c r="T76">
        <v>0</v>
      </c>
      <c r="U76">
        <v>0</v>
      </c>
      <c r="V76">
        <v>0</v>
      </c>
      <c r="W76">
        <v>1</v>
      </c>
      <c r="X76">
        <v>0</v>
      </c>
      <c r="Y76">
        <v>0</v>
      </c>
      <c r="Z76">
        <v>5387.6895487075199</v>
      </c>
      <c r="AA76">
        <v>1379.6402937799901</v>
      </c>
      <c r="AB76">
        <v>7235.2236490369896</v>
      </c>
      <c r="AC76">
        <v>1886.88919369101</v>
      </c>
      <c r="AD76">
        <v>5517.5743409297102</v>
      </c>
      <c r="AE76">
        <v>1102.5144851499599</v>
      </c>
      <c r="AF76">
        <v>18140.487538674199</v>
      </c>
      <c r="AG76">
        <v>4369.0439726209597</v>
      </c>
      <c r="AH76">
        <v>0</v>
      </c>
      <c r="AI76">
        <v>2</v>
      </c>
      <c r="AJ76">
        <v>0</v>
      </c>
      <c r="AK76">
        <v>2</v>
      </c>
      <c r="AL76">
        <v>9.9</v>
      </c>
      <c r="AM76">
        <v>0</v>
      </c>
      <c r="AN76" t="s">
        <v>133</v>
      </c>
      <c r="AO76" t="b">
        <v>0</v>
      </c>
      <c r="AP76" t="s">
        <v>133</v>
      </c>
      <c r="AQ76">
        <v>0</v>
      </c>
      <c r="AR76">
        <v>1</v>
      </c>
      <c r="AS76">
        <v>1</v>
      </c>
      <c r="AT76">
        <v>1</v>
      </c>
      <c r="AU76">
        <v>3.71794153005956</v>
      </c>
      <c r="AV76">
        <v>1.30976014042322</v>
      </c>
      <c r="AW76">
        <v>3.16013800220954</v>
      </c>
      <c r="AX76">
        <v>77</v>
      </c>
      <c r="AY76">
        <v>18</v>
      </c>
      <c r="AZ76">
        <v>2</v>
      </c>
      <c r="BA76">
        <v>0</v>
      </c>
      <c r="BB76">
        <v>0</v>
      </c>
      <c r="BC76">
        <v>2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2</v>
      </c>
      <c r="BJ76">
        <v>2</v>
      </c>
      <c r="BK76">
        <v>3.16013800220954</v>
      </c>
      <c r="BL76">
        <v>77</v>
      </c>
      <c r="BM76">
        <v>18</v>
      </c>
      <c r="BN76">
        <v>3.5420744066999901</v>
      </c>
      <c r="BO76">
        <v>7123.3326858316104</v>
      </c>
      <c r="BP76" t="s">
        <v>502</v>
      </c>
      <c r="BQ76" t="str">
        <f>SUBSTITUTE(SUBSTITUTE(SUBSTITUTE(SUBSTITUTE(SUBSTITUTE(SUBSTITUTE(SUBSTITUTE(I76,"[",""),"]",""),"'",""),"M1-LOD-KS","לוד-כפרסבא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76">
        <f>IF($AP76="ארצי",COUNTIFS($AP$2:$AP$143,"ארצי",$BK$2:$BK$143,"&gt;"&amp;$BK76)+1,COUNTIFS($AP$2:$AP$143,$AP76,$L$2:$L$143,$L76,$BK$2:$BK$143,"&gt;"&amp;$BK76)+1)</f>
        <v>18</v>
      </c>
    </row>
    <row r="77" spans="1:70" x14ac:dyDescent="0.25">
      <c r="A77">
        <v>6</v>
      </c>
      <c r="B77">
        <v>34.981699063194299</v>
      </c>
      <c r="C77">
        <v>32.282516058942697</v>
      </c>
      <c r="D77" t="s">
        <v>503</v>
      </c>
      <c r="E77" t="s">
        <v>504</v>
      </c>
      <c r="F77" t="s">
        <v>127</v>
      </c>
      <c r="G77" t="s">
        <v>128</v>
      </c>
      <c r="H77" t="s">
        <v>144</v>
      </c>
      <c r="I77" t="s">
        <v>145</v>
      </c>
      <c r="J77" t="s">
        <v>74</v>
      </c>
      <c r="K77" t="s">
        <v>75</v>
      </c>
      <c r="L77" t="s">
        <v>75</v>
      </c>
      <c r="M77" t="s">
        <v>131</v>
      </c>
      <c r="N77" t="s">
        <v>132</v>
      </c>
      <c r="O77">
        <v>5042.16</v>
      </c>
      <c r="P77">
        <v>10.300146</v>
      </c>
      <c r="Q77">
        <v>2.0428042743586001E-3</v>
      </c>
      <c r="R77">
        <v>1</v>
      </c>
      <c r="S77">
        <v>0</v>
      </c>
      <c r="T77">
        <v>0</v>
      </c>
      <c r="U77">
        <v>0</v>
      </c>
      <c r="V77">
        <v>0</v>
      </c>
      <c r="W77">
        <v>1</v>
      </c>
      <c r="X77">
        <v>0</v>
      </c>
      <c r="Y77">
        <v>0</v>
      </c>
      <c r="Z77">
        <v>3937.5776712963502</v>
      </c>
      <c r="AA77">
        <v>1052.50489999652</v>
      </c>
      <c r="AB77">
        <v>5100.1871140564699</v>
      </c>
      <c r="AC77">
        <v>1397.29495959262</v>
      </c>
      <c r="AD77">
        <v>2917.2393167026798</v>
      </c>
      <c r="AE77">
        <v>858.03859876548495</v>
      </c>
      <c r="AF77">
        <v>11955.0041020555</v>
      </c>
      <c r="AG77">
        <v>3307.8384583546299</v>
      </c>
      <c r="AH77">
        <v>0</v>
      </c>
      <c r="AI77">
        <v>2</v>
      </c>
      <c r="AJ77">
        <v>0</v>
      </c>
      <c r="AK77">
        <v>2</v>
      </c>
      <c r="AL77">
        <v>9.9</v>
      </c>
      <c r="AM77">
        <v>0</v>
      </c>
      <c r="AN77" t="s">
        <v>133</v>
      </c>
      <c r="AO77" t="b">
        <v>0</v>
      </c>
      <c r="AP77" t="s">
        <v>133</v>
      </c>
      <c r="AQ77">
        <v>0</v>
      </c>
      <c r="AR77">
        <v>1</v>
      </c>
      <c r="AS77">
        <v>1</v>
      </c>
      <c r="AT77">
        <v>1</v>
      </c>
      <c r="AU77">
        <v>4.70046451026555</v>
      </c>
      <c r="AV77">
        <v>1.20941165257089</v>
      </c>
      <c r="AW77">
        <v>3.1275241057001599</v>
      </c>
      <c r="AX77">
        <v>78</v>
      </c>
      <c r="AY77">
        <v>19</v>
      </c>
      <c r="AZ77">
        <v>2</v>
      </c>
      <c r="BA77">
        <v>0</v>
      </c>
      <c r="BB77">
        <v>0</v>
      </c>
      <c r="BC77">
        <v>2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2</v>
      </c>
      <c r="BJ77">
        <v>2</v>
      </c>
      <c r="BK77">
        <v>3.1275241057001599</v>
      </c>
      <c r="BL77">
        <v>78</v>
      </c>
      <c r="BM77">
        <v>19</v>
      </c>
      <c r="BN77">
        <v>3.7026166227792601</v>
      </c>
      <c r="BO77">
        <v>5037.2715870948005</v>
      </c>
      <c r="BP77" t="s">
        <v>505</v>
      </c>
      <c r="BQ77" t="str">
        <f>SUBSTITUTE(SUBSTITUTE(SUBSTITUTE(SUBSTITUTE(SUBSTITUTE(SUBSTITUTE(SUBSTITUTE(I77,"[",""),"]",""),"'",""),"M1-LOD-KS","לוד-כפרסבא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77">
        <f>IF($AP77="ארצי",COUNTIFS($AP$2:$AP$143,"ארצי",$BK$2:$BK$143,"&gt;"&amp;$BK77)+1,COUNTIFS($AP$2:$AP$143,$AP77,$L$2:$L$143,$L77,$BK$2:$BK$143,"&gt;"&amp;$BK77)+1)</f>
        <v>19</v>
      </c>
    </row>
    <row r="78" spans="1:70" x14ac:dyDescent="0.25">
      <c r="A78">
        <v>323</v>
      </c>
      <c r="B78">
        <v>34.893493128968899</v>
      </c>
      <c r="C78">
        <v>31.964955817805102</v>
      </c>
      <c r="D78" t="s">
        <v>753</v>
      </c>
      <c r="E78" t="s">
        <v>754</v>
      </c>
      <c r="F78" t="s">
        <v>313</v>
      </c>
      <c r="G78" t="s">
        <v>314</v>
      </c>
      <c r="H78" t="s">
        <v>755</v>
      </c>
      <c r="I78" t="s">
        <v>756</v>
      </c>
      <c r="J78" t="s">
        <v>74</v>
      </c>
      <c r="K78" t="s">
        <v>75</v>
      </c>
      <c r="L78" t="s">
        <v>75</v>
      </c>
      <c r="M78" t="s">
        <v>216</v>
      </c>
      <c r="N78" t="s">
        <v>132</v>
      </c>
      <c r="O78">
        <v>12631.1</v>
      </c>
      <c r="P78">
        <v>2423.4200012000001</v>
      </c>
      <c r="Q78">
        <v>0.19186135817149699</v>
      </c>
      <c r="R78">
        <v>3</v>
      </c>
      <c r="S78">
        <v>0</v>
      </c>
      <c r="T78">
        <v>0</v>
      </c>
      <c r="U78">
        <v>0</v>
      </c>
      <c r="V78">
        <v>0</v>
      </c>
      <c r="W78">
        <v>0</v>
      </c>
      <c r="X78">
        <v>3</v>
      </c>
      <c r="Y78">
        <v>0</v>
      </c>
      <c r="Z78">
        <v>6947.4155525505403</v>
      </c>
      <c r="AA78">
        <v>11385.4970703463</v>
      </c>
      <c r="AB78">
        <v>13108.743431212901</v>
      </c>
      <c r="AC78">
        <v>13255.4084172443</v>
      </c>
      <c r="AD78">
        <v>9823.5685960292703</v>
      </c>
      <c r="AE78">
        <v>7440.5364813538799</v>
      </c>
      <c r="AF78">
        <v>29879.7275797927</v>
      </c>
      <c r="AG78">
        <v>32081.441968944499</v>
      </c>
      <c r="AH78">
        <v>0</v>
      </c>
      <c r="AI78">
        <v>2</v>
      </c>
      <c r="AJ78">
        <v>0</v>
      </c>
      <c r="AK78">
        <v>2</v>
      </c>
      <c r="AL78">
        <v>33</v>
      </c>
      <c r="AM78">
        <v>0</v>
      </c>
      <c r="AN78" t="s">
        <v>103</v>
      </c>
      <c r="AO78" t="b">
        <v>0</v>
      </c>
      <c r="AP78" t="s">
        <v>103</v>
      </c>
      <c r="AQ78">
        <v>0</v>
      </c>
      <c r="AR78">
        <v>1</v>
      </c>
      <c r="AS78">
        <v>1.58712228184128</v>
      </c>
      <c r="AT78">
        <v>1</v>
      </c>
      <c r="AU78">
        <v>2.9857316130596798</v>
      </c>
      <c r="AV78">
        <v>2.4891698833959701</v>
      </c>
      <c r="AW78">
        <v>1.9052721347898001</v>
      </c>
      <c r="AX78">
        <v>136</v>
      </c>
      <c r="AY78">
        <v>60</v>
      </c>
      <c r="AZ78">
        <v>6</v>
      </c>
      <c r="BA78">
        <v>0</v>
      </c>
      <c r="BB78">
        <v>0</v>
      </c>
      <c r="BC78">
        <v>2</v>
      </c>
      <c r="BD78">
        <v>0</v>
      </c>
      <c r="BE78">
        <v>0</v>
      </c>
      <c r="BF78">
        <v>2</v>
      </c>
      <c r="BG78">
        <v>0</v>
      </c>
      <c r="BH78">
        <v>0</v>
      </c>
      <c r="BI78">
        <v>4</v>
      </c>
      <c r="BJ78">
        <v>6</v>
      </c>
      <c r="BK78">
        <v>1.9052721347898001</v>
      </c>
      <c r="BL78">
        <v>136</v>
      </c>
      <c r="BM78">
        <v>60</v>
      </c>
      <c r="BN78">
        <v>4.1014411734474701</v>
      </c>
      <c r="BO78">
        <v>31641.0990911142</v>
      </c>
      <c r="BP78" t="s">
        <v>794</v>
      </c>
      <c r="BQ78" t="str">
        <f>SUBSTITUTE(SUBSTITUTE(SUBSTITUTE(SUBSTITUTE(SUBSTITUTE(SUBSTITUTE(SUBSTITUTE(I78,"[",""),"]",""),"'",""),"M1-LOD-KS","לוד-כפרסבא (מטרו)"),"M1-KS-LOD","כפר סבא-לוד (מטרו)"),"M1-RA-RE","רעננה-רחובות (מטרו)"),"M1-RE-RA","רחובות-רעננה (מטרו)")</f>
        <v>רצועת הנופש-צומת חולון (BRT), צומת חולון-רצועת הנופש (BRT), לוד-כפרסבא (מטרו), תחנה מרכזית ראשל"צ-לוד (BRT), לוד-תחנה מרכזית ראשל"צ (BRT), כפר סבא-לוד (מטרו)</v>
      </c>
      <c r="BR78">
        <f>IF($AP78="ארצי",COUNTIFS($AP$2:$AP$143,"ארצי",$BK$2:$BK$143,"&gt;"&amp;$BK78)+1,COUNTIFS($AP$2:$AP$143,$AP78,$L$2:$L$143,$L78,$BK$2:$BK$143,"&gt;"&amp;$BK78)+1)</f>
        <v>44</v>
      </c>
    </row>
    <row r="79" spans="1:70" x14ac:dyDescent="0.25">
      <c r="A79">
        <v>516</v>
      </c>
      <c r="B79">
        <v>35.113779607873497</v>
      </c>
      <c r="C79">
        <v>32.819832335708</v>
      </c>
      <c r="D79" t="s">
        <v>508</v>
      </c>
      <c r="E79" t="s">
        <v>509</v>
      </c>
      <c r="F79" t="s">
        <v>127</v>
      </c>
      <c r="G79" t="s">
        <v>128</v>
      </c>
      <c r="H79" t="s">
        <v>510</v>
      </c>
      <c r="I79" t="s">
        <v>511</v>
      </c>
      <c r="J79" t="s">
        <v>74</v>
      </c>
      <c r="K79" t="s">
        <v>94</v>
      </c>
      <c r="L79" t="s">
        <v>94</v>
      </c>
      <c r="M79" t="s">
        <v>139</v>
      </c>
      <c r="N79" t="s">
        <v>132</v>
      </c>
      <c r="O79">
        <v>4554.1599439000001</v>
      </c>
      <c r="P79">
        <v>2177.0884222</v>
      </c>
      <c r="Q79">
        <v>0.47804390908932998</v>
      </c>
      <c r="R79">
        <v>2</v>
      </c>
      <c r="S79">
        <v>0</v>
      </c>
      <c r="T79">
        <v>0</v>
      </c>
      <c r="U79">
        <v>0</v>
      </c>
      <c r="V79">
        <v>0</v>
      </c>
      <c r="W79">
        <v>4</v>
      </c>
      <c r="X79">
        <v>0</v>
      </c>
      <c r="Y79">
        <v>0</v>
      </c>
      <c r="Z79">
        <v>5058.3838595561901</v>
      </c>
      <c r="AA79">
        <v>910.85371821018202</v>
      </c>
      <c r="AB79">
        <v>10529.277119337799</v>
      </c>
      <c r="AC79">
        <v>2079.9885219677199</v>
      </c>
      <c r="AD79">
        <v>8398.8369815650294</v>
      </c>
      <c r="AE79">
        <v>1849.19444127424</v>
      </c>
      <c r="AF79">
        <v>23986.497960459099</v>
      </c>
      <c r="AG79">
        <v>4840.0366814521503</v>
      </c>
      <c r="AH79">
        <v>1</v>
      </c>
      <c r="AI79">
        <v>2</v>
      </c>
      <c r="AJ79">
        <v>2</v>
      </c>
      <c r="AK79">
        <v>2</v>
      </c>
      <c r="AL79">
        <v>30.8</v>
      </c>
      <c r="AM79">
        <v>0</v>
      </c>
      <c r="AN79" t="s">
        <v>140</v>
      </c>
      <c r="AO79" t="b">
        <v>0</v>
      </c>
      <c r="AP79" t="s">
        <v>140</v>
      </c>
      <c r="AQ79">
        <v>0</v>
      </c>
      <c r="AR79">
        <v>7</v>
      </c>
      <c r="AS79">
        <v>1.5312058740468699</v>
      </c>
      <c r="AT79">
        <v>1</v>
      </c>
      <c r="AU79">
        <v>3.75360970011794</v>
      </c>
      <c r="AV79">
        <v>1.9367453467004601</v>
      </c>
      <c r="AW79">
        <v>3.1068592896308602</v>
      </c>
      <c r="AX79">
        <v>80</v>
      </c>
      <c r="AY79">
        <v>13</v>
      </c>
      <c r="AZ79">
        <v>6</v>
      </c>
      <c r="BA79">
        <v>0</v>
      </c>
      <c r="BB79">
        <v>0</v>
      </c>
      <c r="BC79">
        <v>2</v>
      </c>
      <c r="BD79">
        <v>0</v>
      </c>
      <c r="BE79">
        <v>0</v>
      </c>
      <c r="BF79">
        <v>0</v>
      </c>
      <c r="BG79">
        <v>4</v>
      </c>
      <c r="BH79">
        <v>0</v>
      </c>
      <c r="BI79">
        <v>6</v>
      </c>
      <c r="BJ79">
        <v>6</v>
      </c>
      <c r="BK79">
        <v>3.1068592896308602</v>
      </c>
      <c r="BL79">
        <v>80</v>
      </c>
      <c r="BM79">
        <v>13</v>
      </c>
      <c r="BN79">
        <v>3.6584082791410801</v>
      </c>
      <c r="BO79">
        <v>20157.205704657699</v>
      </c>
      <c r="BP79" t="s">
        <v>512</v>
      </c>
      <c r="BQ79" t="str">
        <f>SUBSTITUTE(SUBSTITUTE(SUBSTITUTE(SUBSTITUTE(SUBSTITUTE(SUBSTITUTE(SUBSTITUTE(I79,"[",""),"]",""),"'",""),"M1-LOD-KS","לוד-כפרסבא (מטרו)"),"M1-KS-LOD","כפר סבא-לוד (מטרו)"),"M1-RA-RE","רעננה-רחובות (מטרו)"),"M1-RE-RA","רחובות-רעננה (מטרו)")</f>
        <v>נצרת-חוף הכרמל (רק"ל), מרכזית המפרץ-נצרת (רק"ל), נצרת-מרכזית המפרץ (רק"ל), חוף הכרמל-נצרת (רק"ל), מרכזית הקריות-גילעם (דרך בן גוריון) (BRT), גילעם-מרכזית הקריות (דרך בן גוריון) (BRT)</v>
      </c>
      <c r="BR79">
        <f>IF($AP79="ארצי",COUNTIFS($AP$2:$AP$143,"ארצי",$BK$2:$BK$143,"&gt;"&amp;$BK79)+1,COUNTIFS($AP$2:$AP$143,$AP79,$L$2:$L$143,$L79,$BK$2:$BK$143,"&gt;"&amp;$BK79)+1)</f>
        <v>7</v>
      </c>
    </row>
    <row r="80" spans="1:70" x14ac:dyDescent="0.25">
      <c r="A80">
        <v>392</v>
      </c>
      <c r="B80">
        <v>34.731216226483603</v>
      </c>
      <c r="C80">
        <v>31.890307907393002</v>
      </c>
      <c r="D80" t="s">
        <v>513</v>
      </c>
      <c r="E80" t="s">
        <v>514</v>
      </c>
      <c r="F80" t="s">
        <v>121</v>
      </c>
      <c r="G80" t="s">
        <v>122</v>
      </c>
      <c r="H80" t="s">
        <v>515</v>
      </c>
      <c r="I80" t="s">
        <v>516</v>
      </c>
      <c r="J80" t="s">
        <v>74</v>
      </c>
      <c r="K80" t="s">
        <v>75</v>
      </c>
      <c r="L80" t="s">
        <v>75</v>
      </c>
      <c r="M80" t="s">
        <v>131</v>
      </c>
      <c r="N80" t="s">
        <v>132</v>
      </c>
      <c r="O80">
        <v>5131.7299999999996</v>
      </c>
      <c r="P80">
        <v>4213.2199999999903</v>
      </c>
      <c r="Q80">
        <v>0.82101357631831695</v>
      </c>
      <c r="R80">
        <v>0</v>
      </c>
      <c r="S80">
        <v>0</v>
      </c>
      <c r="T80">
        <v>0</v>
      </c>
      <c r="U80">
        <v>0</v>
      </c>
      <c r="V80">
        <v>0</v>
      </c>
      <c r="W80">
        <v>1</v>
      </c>
      <c r="X80">
        <v>0</v>
      </c>
      <c r="Y80">
        <v>4</v>
      </c>
      <c r="Z80">
        <v>131.45931636435699</v>
      </c>
      <c r="AA80">
        <v>5034.6908131383498</v>
      </c>
      <c r="AB80">
        <v>1646.4281703689901</v>
      </c>
      <c r="AC80">
        <v>5595.4687360401404</v>
      </c>
      <c r="AD80">
        <v>1420.0671536705499</v>
      </c>
      <c r="AE80">
        <v>2170.9791345639001</v>
      </c>
      <c r="AF80">
        <v>3197.9546404039002</v>
      </c>
      <c r="AG80">
        <v>12801.1386837424</v>
      </c>
      <c r="AH80">
        <v>0</v>
      </c>
      <c r="AI80">
        <v>2</v>
      </c>
      <c r="AJ80">
        <v>0</v>
      </c>
      <c r="AK80">
        <v>2</v>
      </c>
      <c r="AL80">
        <v>31.9</v>
      </c>
      <c r="AM80">
        <v>3</v>
      </c>
      <c r="AN80" t="s">
        <v>103</v>
      </c>
      <c r="AO80" t="b">
        <v>0</v>
      </c>
      <c r="AP80" t="s">
        <v>103</v>
      </c>
      <c r="AQ80">
        <v>3</v>
      </c>
      <c r="AR80">
        <v>1</v>
      </c>
      <c r="AS80">
        <v>1.5591640779440801</v>
      </c>
      <c r="AT80">
        <v>10</v>
      </c>
      <c r="AU80">
        <v>1</v>
      </c>
      <c r="AV80">
        <v>1.4904960963231599</v>
      </c>
      <c r="AW80">
        <v>3.0783959237332899</v>
      </c>
      <c r="AX80">
        <v>81</v>
      </c>
      <c r="AY80">
        <v>36</v>
      </c>
      <c r="AZ80">
        <v>5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5</v>
      </c>
      <c r="BK80">
        <v>3.0783959237332899</v>
      </c>
      <c r="BL80">
        <v>81</v>
      </c>
      <c r="BM80">
        <v>36</v>
      </c>
      <c r="BN80">
        <v>3.7102637984053799</v>
      </c>
      <c r="BO80">
        <v>10880.5018750747</v>
      </c>
      <c r="BP80" t="s">
        <v>517</v>
      </c>
      <c r="BQ80" t="str">
        <f>SUBSTITUTE(SUBSTITUTE(SUBSTITUTE(SUBSTITUTE(SUBSTITUTE(SUBSTITUTE(SUBSTITUTE(I80,"[",""),"]",""),"'",""),"M1-LOD-KS","לוד-כפרסבא (מטרו)"),"M1-KS-LOD","כפר סבא-לוד (מטרו)"),"M1-RA-RE","רעננה-רחובות (מטרו)"),"M1-RE-RA","רחובות-רעננה (מטרו)")</f>
        <v>יבנה-אשדוד (דרך הנמל) (רק"ל), מודיעין-באר שבע (רכבת פרברית), זיכרון יעקב-שוקת (רכבת פרברית), באר שבע-מודיעין (רכבת פרברית), שוקת-זיכרון יעקב (רכבת פרברית)</v>
      </c>
      <c r="BR80">
        <f>IF($AP80="ארצי",COUNTIFS($AP$2:$AP$143,"ארצי",$BK$2:$BK$143,"&gt;"&amp;$BK80)+1,COUNTIFS($AP$2:$AP$143,$AP80,$L$2:$L$143,$L80,$BK$2:$BK$143,"&gt;"&amp;$BK80)+1)</f>
        <v>23</v>
      </c>
    </row>
    <row r="81" spans="1:70" x14ac:dyDescent="0.25">
      <c r="A81">
        <v>29</v>
      </c>
      <c r="B81">
        <v>34.874881614635498</v>
      </c>
      <c r="C81">
        <v>32.3214204732529</v>
      </c>
      <c r="D81" t="s">
        <v>518</v>
      </c>
      <c r="E81" t="s">
        <v>519</v>
      </c>
      <c r="F81" t="s">
        <v>127</v>
      </c>
      <c r="G81" t="s">
        <v>128</v>
      </c>
      <c r="H81" t="s">
        <v>144</v>
      </c>
      <c r="I81" t="s">
        <v>145</v>
      </c>
      <c r="J81" t="s">
        <v>74</v>
      </c>
      <c r="K81" t="s">
        <v>75</v>
      </c>
      <c r="L81" t="s">
        <v>75</v>
      </c>
      <c r="M81" t="s">
        <v>131</v>
      </c>
      <c r="N81" t="s">
        <v>132</v>
      </c>
      <c r="O81">
        <v>4073.1</v>
      </c>
      <c r="P81">
        <v>0.28263059999999901</v>
      </c>
      <c r="Q81" s="1">
        <v>6.9389555866538897E-5</v>
      </c>
      <c r="R81">
        <v>1</v>
      </c>
      <c r="S81">
        <v>0</v>
      </c>
      <c r="T81">
        <v>0</v>
      </c>
      <c r="U81">
        <v>0</v>
      </c>
      <c r="V81">
        <v>0</v>
      </c>
      <c r="W81">
        <v>1</v>
      </c>
      <c r="X81">
        <v>0</v>
      </c>
      <c r="Y81">
        <v>0</v>
      </c>
      <c r="Z81">
        <v>1219.0041613436499</v>
      </c>
      <c r="AA81">
        <v>6939.9333116100997</v>
      </c>
      <c r="AB81">
        <v>7241.0204211147502</v>
      </c>
      <c r="AC81">
        <v>8536.8435706152304</v>
      </c>
      <c r="AD81">
        <v>8925.1187158038192</v>
      </c>
      <c r="AE81">
        <v>4728.3506271400902</v>
      </c>
      <c r="AF81">
        <v>17385.143298262199</v>
      </c>
      <c r="AG81">
        <v>20205.1275093654</v>
      </c>
      <c r="AH81">
        <v>0</v>
      </c>
      <c r="AI81">
        <v>2</v>
      </c>
      <c r="AJ81">
        <v>0</v>
      </c>
      <c r="AK81">
        <v>2</v>
      </c>
      <c r="AL81">
        <v>9.9</v>
      </c>
      <c r="AM81">
        <v>0</v>
      </c>
      <c r="AN81" t="s">
        <v>133</v>
      </c>
      <c r="AO81" t="b">
        <v>0</v>
      </c>
      <c r="AP81" t="s">
        <v>133</v>
      </c>
      <c r="AQ81">
        <v>0</v>
      </c>
      <c r="AR81">
        <v>1</v>
      </c>
      <c r="AS81">
        <v>1</v>
      </c>
      <c r="AT81">
        <v>1</v>
      </c>
      <c r="AU81">
        <v>4.1331895577537701</v>
      </c>
      <c r="AV81">
        <v>1.9119199234834101</v>
      </c>
      <c r="AW81">
        <v>3.0279555898540398</v>
      </c>
      <c r="AX81">
        <v>82</v>
      </c>
      <c r="AY81">
        <v>20</v>
      </c>
      <c r="AZ81">
        <v>2</v>
      </c>
      <c r="BA81">
        <v>0</v>
      </c>
      <c r="BB81">
        <v>0</v>
      </c>
      <c r="BC81">
        <v>2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2</v>
      </c>
      <c r="BJ81">
        <v>2</v>
      </c>
      <c r="BK81">
        <v>3.0279555898540398</v>
      </c>
      <c r="BL81">
        <v>82</v>
      </c>
      <c r="BM81">
        <v>20</v>
      </c>
      <c r="BN81">
        <v>3.6099250727216599</v>
      </c>
      <c r="BO81">
        <v>19641.130667144698</v>
      </c>
      <c r="BP81" t="s">
        <v>520</v>
      </c>
      <c r="BQ81" t="str">
        <f>SUBSTITUTE(SUBSTITUTE(SUBSTITUTE(SUBSTITUTE(SUBSTITUTE(SUBSTITUTE(SUBSTITUTE(I81,"[",""),"]",""),"'",""),"M1-LOD-KS","לוד-כפרסבא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81">
        <f>IF($AP81="ארצי",COUNTIFS($AP$2:$AP$143,"ארצי",$BK$2:$BK$143,"&gt;"&amp;$BK81)+1,COUNTIFS($AP$2:$AP$143,$AP81,$L$2:$L$143,$L81,$BK$2:$BK$143,"&gt;"&amp;$BK81)+1)</f>
        <v>20</v>
      </c>
    </row>
    <row r="82" spans="1:70" x14ac:dyDescent="0.25">
      <c r="A82">
        <v>593</v>
      </c>
      <c r="B82">
        <v>34.839919723808698</v>
      </c>
      <c r="C82">
        <v>32.110888762759899</v>
      </c>
      <c r="D82" t="s">
        <v>521</v>
      </c>
      <c r="E82" t="s">
        <v>522</v>
      </c>
      <c r="F82" t="s">
        <v>495</v>
      </c>
      <c r="G82" t="s">
        <v>496</v>
      </c>
      <c r="H82" t="s">
        <v>523</v>
      </c>
      <c r="I82" t="s">
        <v>524</v>
      </c>
      <c r="J82" t="s">
        <v>74</v>
      </c>
      <c r="K82" t="s">
        <v>75</v>
      </c>
      <c r="L82" t="s">
        <v>75</v>
      </c>
      <c r="M82" t="s">
        <v>76</v>
      </c>
      <c r="N82" t="s">
        <v>77</v>
      </c>
      <c r="O82">
        <v>102808.6</v>
      </c>
      <c r="P82">
        <v>54099.03</v>
      </c>
      <c r="Q82">
        <v>0.52621113408800402</v>
      </c>
      <c r="R82">
        <v>0</v>
      </c>
      <c r="S82">
        <v>0</v>
      </c>
      <c r="T82">
        <v>0</v>
      </c>
      <c r="U82">
        <v>0</v>
      </c>
      <c r="V82">
        <v>0</v>
      </c>
      <c r="W82">
        <v>2</v>
      </c>
      <c r="X82">
        <v>2</v>
      </c>
      <c r="Y82">
        <v>0</v>
      </c>
      <c r="Z82">
        <v>7187.0512254525902</v>
      </c>
      <c r="AA82">
        <v>21093.430463136399</v>
      </c>
      <c r="AB82">
        <v>16389.869465455798</v>
      </c>
      <c r="AC82">
        <v>32632.2412208643</v>
      </c>
      <c r="AD82">
        <v>12755.7528926164</v>
      </c>
      <c r="AE82">
        <v>15554.525731990399</v>
      </c>
      <c r="AF82">
        <v>36332.673583524796</v>
      </c>
      <c r="AG82">
        <v>69280.197415991104</v>
      </c>
      <c r="AH82">
        <v>0</v>
      </c>
      <c r="AI82">
        <v>3</v>
      </c>
      <c r="AJ82">
        <v>0</v>
      </c>
      <c r="AK82">
        <v>2</v>
      </c>
      <c r="AL82">
        <v>24.2</v>
      </c>
      <c r="AM82">
        <v>0</v>
      </c>
      <c r="AN82" t="s">
        <v>103</v>
      </c>
      <c r="AO82" t="b">
        <v>0</v>
      </c>
      <c r="AP82" t="s">
        <v>103</v>
      </c>
      <c r="AQ82">
        <v>0</v>
      </c>
      <c r="AR82">
        <v>1</v>
      </c>
      <c r="AS82">
        <v>1.3634566506636501</v>
      </c>
      <c r="AT82">
        <v>1</v>
      </c>
      <c r="AU82">
        <v>7.6081459780079896</v>
      </c>
      <c r="AV82">
        <v>3.9827885333481898</v>
      </c>
      <c r="AW82">
        <v>3.02470102198239</v>
      </c>
      <c r="AX82">
        <v>83</v>
      </c>
      <c r="AY82">
        <v>37</v>
      </c>
      <c r="AZ82">
        <v>4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2</v>
      </c>
      <c r="BG82">
        <v>2</v>
      </c>
      <c r="BH82">
        <v>0</v>
      </c>
      <c r="BI82">
        <v>4</v>
      </c>
      <c r="BJ82">
        <v>4</v>
      </c>
      <c r="BK82">
        <v>3.02470102198239</v>
      </c>
      <c r="BL82">
        <v>83</v>
      </c>
      <c r="BM82">
        <v>37</v>
      </c>
      <c r="BN82">
        <v>5.0120294451682499</v>
      </c>
      <c r="BO82">
        <v>62690.692649497898</v>
      </c>
      <c r="BP82" t="s">
        <v>525</v>
      </c>
      <c r="BQ82" t="str">
        <f>SUBSTITUTE(SUBSTITUTE(SUBSTITUTE(SUBSTITUTE(SUBSTITUTE(SUBSTITUTE(SUBSTITUTE(I82,"[",""),"]",""),"'",""),"M1-LOD-KS","לוד-כפרסבא (מטרו)"),"M1-KS-LOD","כפר סבא-לוד (מטרו)"),"M1-RA-RE","רעננה-רחובות (מטרו)"),"M1-RE-RA","רחובות-רעננה (מטרו)")</f>
        <v>עתידים-ראשל"צ (רק"ל), ראשל"צ-עתידים (רק"ל), הרצליה-בת ים (מטרו), בת ים-הרצליה (מטרו)</v>
      </c>
      <c r="BR82">
        <f>IF($AP82="ארצי",COUNTIFS($AP$2:$AP$143,"ארצי",$BK$2:$BK$143,"&gt;"&amp;$BK82)+1,COUNTIFS($AP$2:$AP$143,$AP82,$L$2:$L$143,$L82,$BK$2:$BK$143,"&gt;"&amp;$BK82)+1)</f>
        <v>24</v>
      </c>
    </row>
    <row r="83" spans="1:70" x14ac:dyDescent="0.25">
      <c r="A83">
        <v>529</v>
      </c>
      <c r="B83">
        <v>35.073087596915698</v>
      </c>
      <c r="C83">
        <v>32.808271520176497</v>
      </c>
      <c r="D83" t="s">
        <v>526</v>
      </c>
      <c r="E83" t="s">
        <v>527</v>
      </c>
      <c r="F83" t="s">
        <v>127</v>
      </c>
      <c r="G83" t="s">
        <v>128</v>
      </c>
      <c r="H83" t="s">
        <v>528</v>
      </c>
      <c r="I83" t="s">
        <v>529</v>
      </c>
      <c r="J83" t="s">
        <v>74</v>
      </c>
      <c r="K83" t="s">
        <v>94</v>
      </c>
      <c r="L83" t="s">
        <v>94</v>
      </c>
      <c r="M83" t="s">
        <v>139</v>
      </c>
      <c r="N83" t="s">
        <v>132</v>
      </c>
      <c r="O83">
        <v>3927.1955895000001</v>
      </c>
      <c r="P83">
        <v>2126.6278948999998</v>
      </c>
      <c r="Q83">
        <v>0.54151310940200803</v>
      </c>
      <c r="R83">
        <v>2</v>
      </c>
      <c r="S83">
        <v>0</v>
      </c>
      <c r="T83">
        <v>0</v>
      </c>
      <c r="U83">
        <v>0</v>
      </c>
      <c r="V83">
        <v>0</v>
      </c>
      <c r="W83">
        <v>6</v>
      </c>
      <c r="X83">
        <v>0</v>
      </c>
      <c r="Y83">
        <v>0</v>
      </c>
      <c r="Z83">
        <v>230.139981671687</v>
      </c>
      <c r="AA83">
        <v>6787.1154026177701</v>
      </c>
      <c r="AB83">
        <v>4335.8960000213301</v>
      </c>
      <c r="AC83">
        <v>8534.3623378133507</v>
      </c>
      <c r="AD83">
        <v>4366.4249493458701</v>
      </c>
      <c r="AE83">
        <v>3846.3171762861998</v>
      </c>
      <c r="AF83">
        <v>8932.4609310389005</v>
      </c>
      <c r="AG83">
        <v>19167.794916717299</v>
      </c>
      <c r="AH83">
        <v>1</v>
      </c>
      <c r="AI83">
        <v>2</v>
      </c>
      <c r="AJ83">
        <v>2</v>
      </c>
      <c r="AK83">
        <v>2</v>
      </c>
      <c r="AL83">
        <v>41.8</v>
      </c>
      <c r="AM83">
        <v>0</v>
      </c>
      <c r="AN83" t="s">
        <v>140</v>
      </c>
      <c r="AO83" t="b">
        <v>0</v>
      </c>
      <c r="AP83" t="s">
        <v>140</v>
      </c>
      <c r="AQ83">
        <v>0</v>
      </c>
      <c r="AR83">
        <v>7</v>
      </c>
      <c r="AS83">
        <v>1.8107879130189199</v>
      </c>
      <c r="AT83">
        <v>1</v>
      </c>
      <c r="AU83">
        <v>3.4382810171549298</v>
      </c>
      <c r="AV83">
        <v>1.4952596646687299</v>
      </c>
      <c r="AW83">
        <v>3.0011597780743098</v>
      </c>
      <c r="AX83">
        <v>84</v>
      </c>
      <c r="AY83">
        <v>14</v>
      </c>
      <c r="AZ83">
        <v>8</v>
      </c>
      <c r="BA83">
        <v>2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4</v>
      </c>
      <c r="BH83">
        <v>0</v>
      </c>
      <c r="BI83">
        <v>6</v>
      </c>
      <c r="BJ83">
        <v>8</v>
      </c>
      <c r="BK83">
        <v>3.0011597780743098</v>
      </c>
      <c r="BL83">
        <v>84</v>
      </c>
      <c r="BM83">
        <v>14</v>
      </c>
      <c r="BN83">
        <v>3.5940825313507001</v>
      </c>
      <c r="BO83">
        <v>10979.5277281745</v>
      </c>
      <c r="BP83" t="s">
        <v>530</v>
      </c>
      <c r="BQ83" t="str">
        <f>SUBSTITUTE(SUBSTITUTE(SUBSTITUTE(SUBSTITUTE(SUBSTITUTE(SUBSTITUTE(SUBSTITUTE(I83,"[",""),"]",""),"'",""),"M1-LOD-KS","לוד-כפרסבא (מטרו)"),"M1-KS-LOD","כפר סבא-לוד (מטרו)"),"M1-RA-RE","רעננה-רחובות (מטרו)"),"M1-RE-RA","רחובות-רעננה (מטרו)")</f>
        <v>נצרת-חוף הכרמל (רק"ל), נצרת-מרכזית המפרץ (רק"ל), חוף הכרמל-נצרת (רק"ל), מרכזית המפרץ-נצרת (רק"ל), חוף הכרמל-מרכזית הקריות (דרך 22) (רק"ל), מרכזית הקריות-חוף הכרמל (דרך 22) (רק"ל), גילעם-מרכז הכרמל (דרך המנהרות) (BRT), מרכז הכרמל-גילעם (דרך המנהרות) (BRT)</v>
      </c>
      <c r="BR83">
        <f>IF($AP83="ארצי",COUNTIFS($AP$2:$AP$143,"ארצי",$BK$2:$BK$143,"&gt;"&amp;$BK83)+1,COUNTIFS($AP$2:$AP$143,$AP83,$L$2:$L$143,$L83,$BK$2:$BK$143,"&gt;"&amp;$BK83)+1)</f>
        <v>8</v>
      </c>
    </row>
    <row r="84" spans="1:70" x14ac:dyDescent="0.25">
      <c r="A84">
        <v>207</v>
      </c>
      <c r="B84">
        <v>35.208848953944198</v>
      </c>
      <c r="C84">
        <v>32.647986361107698</v>
      </c>
      <c r="D84" t="s">
        <v>531</v>
      </c>
      <c r="E84" t="s">
        <v>532</v>
      </c>
      <c r="F84" t="s">
        <v>348</v>
      </c>
      <c r="G84" t="s">
        <v>349</v>
      </c>
      <c r="H84" t="s">
        <v>533</v>
      </c>
      <c r="I84" t="s">
        <v>534</v>
      </c>
      <c r="J84" t="s">
        <v>74</v>
      </c>
      <c r="K84" t="s">
        <v>368</v>
      </c>
      <c r="L84" t="s">
        <v>368</v>
      </c>
      <c r="M84" t="s">
        <v>369</v>
      </c>
      <c r="N84" t="s">
        <v>278</v>
      </c>
      <c r="O84">
        <v>5437.9636114000004</v>
      </c>
      <c r="P84">
        <v>4085.5000826</v>
      </c>
      <c r="Q84">
        <v>0.75129228044764096</v>
      </c>
      <c r="R84">
        <v>1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4</v>
      </c>
      <c r="Z84">
        <v>224.52600131413999</v>
      </c>
      <c r="AA84">
        <v>157.61451021524101</v>
      </c>
      <c r="AB84">
        <v>399.15733566956499</v>
      </c>
      <c r="AC84">
        <v>280.203573715971</v>
      </c>
      <c r="AD84">
        <v>274.420668272841</v>
      </c>
      <c r="AE84">
        <v>192.639956929741</v>
      </c>
      <c r="AF84">
        <v>898.104005256547</v>
      </c>
      <c r="AG84">
        <v>630.45804086095404</v>
      </c>
      <c r="AH84">
        <v>1</v>
      </c>
      <c r="AI84">
        <v>1</v>
      </c>
      <c r="AJ84">
        <v>1</v>
      </c>
      <c r="AK84">
        <v>2</v>
      </c>
      <c r="AL84">
        <v>30.8</v>
      </c>
      <c r="AM84">
        <v>2</v>
      </c>
      <c r="AN84" t="s">
        <v>103</v>
      </c>
      <c r="AO84" t="b">
        <v>0</v>
      </c>
      <c r="AP84" t="s">
        <v>103</v>
      </c>
      <c r="AQ84">
        <v>2</v>
      </c>
      <c r="AR84">
        <v>4</v>
      </c>
      <c r="AS84">
        <v>1.5312058740468699</v>
      </c>
      <c r="AT84">
        <v>7</v>
      </c>
      <c r="AU84">
        <v>1.1277830204685499</v>
      </c>
      <c r="AV84">
        <v>1</v>
      </c>
      <c r="AW84">
        <v>2.9713895143795801</v>
      </c>
      <c r="AX84">
        <v>85</v>
      </c>
      <c r="AY84">
        <v>38</v>
      </c>
      <c r="AZ84">
        <v>5</v>
      </c>
      <c r="BA84">
        <v>1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1</v>
      </c>
      <c r="BJ84">
        <v>5</v>
      </c>
      <c r="BK84">
        <v>2.9713895143795801</v>
      </c>
      <c r="BL84">
        <v>85</v>
      </c>
      <c r="BM84">
        <v>38</v>
      </c>
      <c r="BN84">
        <v>3.73543629714242</v>
      </c>
      <c r="BO84">
        <v>683.98723374007295</v>
      </c>
      <c r="BP84" t="s">
        <v>535</v>
      </c>
      <c r="BQ84" t="str">
        <f>SUBSTITUTE(SUBSTITUTE(SUBSTITUTE(SUBSTITUTE(SUBSTITUTE(SUBSTITUTE(SUBSTITUTE(I84,"[",""),"]",""),"'",""),"M1-LOD-KS","לוד-כפרסבא (מטרו)"),"M1-KS-LOD","כפר סבא-לוד (מטרו)"),"M1-RA-RE","רעננה-רחובות (מטרו)"),"M1-RE-RA","רחובות-רעננה (מטרו)")</f>
        <v>טבריה-עתלית (רכבת פרברית), עתלית-טבריה (רכבת פרברית), הרצליה-בית שאן (רכבת פרברית), בית שאן-הרצליה (רכבת פרברית), כפר ברוך-נצרת (BRT)</v>
      </c>
      <c r="BR84">
        <f>IF($AP84="ארצי",COUNTIFS($AP$2:$AP$143,"ארצי",$BK$2:$BK$143,"&gt;"&amp;$BK84)+1,COUNTIFS($AP$2:$AP$143,$AP84,$L$2:$L$143,$L84,$BK$2:$BK$143,"&gt;"&amp;$BK84)+1)</f>
        <v>2</v>
      </c>
    </row>
    <row r="85" spans="1:70" x14ac:dyDescent="0.25">
      <c r="A85">
        <v>303</v>
      </c>
      <c r="B85">
        <v>34.8605442755862</v>
      </c>
      <c r="C85">
        <v>31.917045446561701</v>
      </c>
      <c r="D85" t="s">
        <v>536</v>
      </c>
      <c r="E85" t="s">
        <v>537</v>
      </c>
      <c r="F85" t="s">
        <v>121</v>
      </c>
      <c r="G85" t="s">
        <v>122</v>
      </c>
      <c r="H85" t="s">
        <v>538</v>
      </c>
      <c r="I85" t="s">
        <v>539</v>
      </c>
      <c r="J85" t="s">
        <v>74</v>
      </c>
      <c r="K85" t="s">
        <v>75</v>
      </c>
      <c r="L85" t="s">
        <v>75</v>
      </c>
      <c r="M85" t="s">
        <v>131</v>
      </c>
      <c r="N85" t="s">
        <v>132</v>
      </c>
      <c r="O85">
        <v>13857.08</v>
      </c>
      <c r="P85">
        <v>10178.116900000001</v>
      </c>
      <c r="Q85">
        <v>0.73450661322587396</v>
      </c>
      <c r="R85">
        <v>0</v>
      </c>
      <c r="S85">
        <v>0</v>
      </c>
      <c r="T85">
        <v>0</v>
      </c>
      <c r="U85">
        <v>0</v>
      </c>
      <c r="V85">
        <v>0</v>
      </c>
      <c r="W85">
        <v>2</v>
      </c>
      <c r="X85">
        <v>0</v>
      </c>
      <c r="Y85">
        <v>4</v>
      </c>
      <c r="Z85">
        <v>5004.7046445788101</v>
      </c>
      <c r="AA85">
        <v>1329.6855975932599</v>
      </c>
      <c r="AB85">
        <v>10950.8261093732</v>
      </c>
      <c r="AC85">
        <v>2595.6088856330498</v>
      </c>
      <c r="AD85">
        <v>8075.8212075718902</v>
      </c>
      <c r="AE85">
        <v>1786.2246498946899</v>
      </c>
      <c r="AF85">
        <v>24031.351961523898</v>
      </c>
      <c r="AG85">
        <v>5711.5191331210099</v>
      </c>
      <c r="AH85">
        <v>0</v>
      </c>
      <c r="AI85">
        <v>2</v>
      </c>
      <c r="AJ85">
        <v>0</v>
      </c>
      <c r="AK85">
        <v>2</v>
      </c>
      <c r="AL85">
        <v>37.4</v>
      </c>
      <c r="AM85">
        <v>2</v>
      </c>
      <c r="AN85" t="s">
        <v>103</v>
      </c>
      <c r="AO85" t="b">
        <v>0</v>
      </c>
      <c r="AP85" t="s">
        <v>103</v>
      </c>
      <c r="AQ85">
        <v>2</v>
      </c>
      <c r="AR85">
        <v>1</v>
      </c>
      <c r="AS85">
        <v>1.6989550974301</v>
      </c>
      <c r="AT85">
        <v>7</v>
      </c>
      <c r="AU85">
        <v>3.18995374255941</v>
      </c>
      <c r="AV85">
        <v>1.41809836186862</v>
      </c>
      <c r="AW85">
        <v>2.9254862402219501</v>
      </c>
      <c r="AX85">
        <v>86</v>
      </c>
      <c r="AY85">
        <v>39</v>
      </c>
      <c r="AZ85">
        <v>6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6</v>
      </c>
      <c r="BK85">
        <v>2.9254862402219501</v>
      </c>
      <c r="BL85">
        <v>86</v>
      </c>
      <c r="BM85">
        <v>39</v>
      </c>
      <c r="BN85">
        <v>4.1416717242519301</v>
      </c>
      <c r="BO85">
        <v>9375.4856988015999</v>
      </c>
      <c r="BP85" t="s">
        <v>540</v>
      </c>
      <c r="BQ85" t="str">
        <f>SUBSTITUTE(SUBSTITUTE(SUBSTITUTE(SUBSTITUTE(SUBSTITUTE(SUBSTITUTE(SUBSTITUTE(I85,"[",""),"]",""),"'",""),"M1-LOD-KS","לוד-כפרסבא (מטרו)"),"M1-KS-LOD","כפר סבא-לוד (מטרו)"),"M1-RA-RE","רעננה-רחובות (מטרו)"),"M1-RE-RA","רחובות-רעננה (מטרו)")</f>
        <v>אשדוד-מודיעין (רכבת פרברית), מודיעין-באר שבע (רכבת פרברית), באר שבע-מודיעין (רכבת פרברית), מודיעין-אשדוד (רכבת פרברית), צומת בילו-צומת רעננה (רק"ל), צומת רעננה-צומת בילו (רק"ל)</v>
      </c>
      <c r="BR85">
        <f>IF($AP85="ארצי",COUNTIFS($AP$2:$AP$143,"ארצי",$BK$2:$BK$143,"&gt;"&amp;$BK85)+1,COUNTIFS($AP$2:$AP$143,$AP85,$L$2:$L$143,$L85,$BK$2:$BK$143,"&gt;"&amp;$BK85)+1)</f>
        <v>25</v>
      </c>
    </row>
    <row r="86" spans="1:70" x14ac:dyDescent="0.25">
      <c r="A86">
        <v>101</v>
      </c>
      <c r="B86">
        <v>34.905252527752097</v>
      </c>
      <c r="C86">
        <v>32.187121118111001</v>
      </c>
      <c r="D86" t="s">
        <v>541</v>
      </c>
      <c r="E86" t="s">
        <v>542</v>
      </c>
      <c r="F86" t="s">
        <v>472</v>
      </c>
      <c r="G86" t="s">
        <v>473</v>
      </c>
      <c r="H86" t="s">
        <v>543</v>
      </c>
      <c r="I86" t="s">
        <v>544</v>
      </c>
      <c r="J86" t="s">
        <v>74</v>
      </c>
      <c r="K86" t="s">
        <v>75</v>
      </c>
      <c r="L86" t="s">
        <v>75</v>
      </c>
      <c r="M86" t="s">
        <v>216</v>
      </c>
      <c r="N86" t="s">
        <v>132</v>
      </c>
      <c r="O86">
        <v>20150.98</v>
      </c>
      <c r="P86">
        <v>9250.6499999999905</v>
      </c>
      <c r="Q86">
        <v>0.45906700319289601</v>
      </c>
      <c r="R86">
        <v>3</v>
      </c>
      <c r="S86">
        <v>0</v>
      </c>
      <c r="T86">
        <v>0</v>
      </c>
      <c r="U86">
        <v>0</v>
      </c>
      <c r="V86">
        <v>0</v>
      </c>
      <c r="W86">
        <v>1</v>
      </c>
      <c r="X86">
        <v>0</v>
      </c>
      <c r="Y86">
        <v>0</v>
      </c>
      <c r="Z86">
        <v>14890.471788138801</v>
      </c>
      <c r="AA86">
        <v>3854.5900341367601</v>
      </c>
      <c r="AB86">
        <v>23279.198124077699</v>
      </c>
      <c r="AC86">
        <v>10596.699139922601</v>
      </c>
      <c r="AD86">
        <v>16037.9425360803</v>
      </c>
      <c r="AE86">
        <v>13007.1936191812</v>
      </c>
      <c r="AF86">
        <v>54207.612448296801</v>
      </c>
      <c r="AG86">
        <v>27458.482793240699</v>
      </c>
      <c r="AH86">
        <v>0</v>
      </c>
      <c r="AI86">
        <v>2</v>
      </c>
      <c r="AJ86">
        <v>0</v>
      </c>
      <c r="AK86">
        <v>2</v>
      </c>
      <c r="AL86">
        <v>18.7</v>
      </c>
      <c r="AM86">
        <v>0</v>
      </c>
      <c r="AN86" t="s">
        <v>140</v>
      </c>
      <c r="AO86" t="b">
        <v>0</v>
      </c>
      <c r="AP86" t="s">
        <v>140</v>
      </c>
      <c r="AQ86">
        <v>0</v>
      </c>
      <c r="AR86">
        <v>1</v>
      </c>
      <c r="AS86">
        <v>1.2236656311776299</v>
      </c>
      <c r="AT86">
        <v>1</v>
      </c>
      <c r="AU86">
        <v>6.9197909818916097</v>
      </c>
      <c r="AV86">
        <v>3.3173664065412498</v>
      </c>
      <c r="AW86">
        <v>2.8967293024340401</v>
      </c>
      <c r="AX86">
        <v>87</v>
      </c>
      <c r="AY86">
        <v>15</v>
      </c>
      <c r="AZ86">
        <v>4</v>
      </c>
      <c r="BA86">
        <v>2</v>
      </c>
      <c r="BB86">
        <v>0</v>
      </c>
      <c r="BC86">
        <v>2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4</v>
      </c>
      <c r="BJ86">
        <v>4</v>
      </c>
      <c r="BK86">
        <v>2.8967293024340401</v>
      </c>
      <c r="BL86">
        <v>87</v>
      </c>
      <c r="BM86">
        <v>15</v>
      </c>
      <c r="BN86">
        <v>4.3042961719780104</v>
      </c>
      <c r="BO86">
        <v>48857.786517285604</v>
      </c>
      <c r="BP86" t="s">
        <v>545</v>
      </c>
      <c r="BQ86" t="str">
        <f>SUBSTITUTE(SUBSTITUTE(SUBSTITUTE(SUBSTITUTE(SUBSTITUTE(SUBSTITUTE(SUBSTITUTE(I86,"[",""),"]",""),"'",""),"M1-LOD-KS","לוד-כפרסבא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(BRT), כפר סבא-הרצליה (BRT), הרצליה-כפר סבא (BRT)</v>
      </c>
      <c r="BR86">
        <f>IF($AP86="ארצי",COUNTIFS($AP$2:$AP$143,"ארצי",$BK$2:$BK$143,"&gt;"&amp;$BK86)+1,COUNTIFS($AP$2:$AP$143,$AP86,$L$2:$L$143,$L86,$BK$2:$BK$143,"&gt;"&amp;$BK86)+1)</f>
        <v>5</v>
      </c>
    </row>
    <row r="87" spans="1:70" x14ac:dyDescent="0.25">
      <c r="A87">
        <v>656</v>
      </c>
      <c r="B87">
        <v>34.795044085093402</v>
      </c>
      <c r="C87">
        <v>32.010859691943097</v>
      </c>
      <c r="D87" t="s">
        <v>546</v>
      </c>
      <c r="E87" t="s">
        <v>547</v>
      </c>
      <c r="F87" t="s">
        <v>548</v>
      </c>
      <c r="G87" t="s">
        <v>549</v>
      </c>
      <c r="H87" t="s">
        <v>550</v>
      </c>
      <c r="I87" t="s">
        <v>551</v>
      </c>
      <c r="J87" t="s">
        <v>74</v>
      </c>
      <c r="K87" t="s">
        <v>75</v>
      </c>
      <c r="L87" t="s">
        <v>75</v>
      </c>
      <c r="M87" t="s">
        <v>139</v>
      </c>
      <c r="N87" t="s">
        <v>132</v>
      </c>
      <c r="O87">
        <v>115098.98</v>
      </c>
      <c r="P87">
        <v>106247.7</v>
      </c>
      <c r="Q87">
        <v>0.92309853658129704</v>
      </c>
      <c r="R87">
        <v>2</v>
      </c>
      <c r="S87">
        <v>0</v>
      </c>
      <c r="T87">
        <v>0</v>
      </c>
      <c r="U87">
        <v>0</v>
      </c>
      <c r="V87">
        <v>0</v>
      </c>
      <c r="W87">
        <v>2</v>
      </c>
      <c r="X87">
        <v>2</v>
      </c>
      <c r="Y87">
        <v>0</v>
      </c>
      <c r="Z87">
        <v>17454.208476471402</v>
      </c>
      <c r="AA87">
        <v>6435.9747201846103</v>
      </c>
      <c r="AB87">
        <v>24363.673385693401</v>
      </c>
      <c r="AC87">
        <v>12854.3453525123</v>
      </c>
      <c r="AD87">
        <v>15300.167656351499</v>
      </c>
      <c r="AE87">
        <v>9710.7727949067703</v>
      </c>
      <c r="AF87">
        <v>57118.049518516302</v>
      </c>
      <c r="AG87">
        <v>29001.092867603598</v>
      </c>
      <c r="AH87">
        <v>0</v>
      </c>
      <c r="AI87">
        <v>2</v>
      </c>
      <c r="AJ87">
        <v>0</v>
      </c>
      <c r="AK87">
        <v>3</v>
      </c>
      <c r="AL87">
        <v>36</v>
      </c>
      <c r="AM87">
        <v>0</v>
      </c>
      <c r="AN87" t="s">
        <v>103</v>
      </c>
      <c r="AO87" t="b">
        <v>0</v>
      </c>
      <c r="AP87" t="s">
        <v>103</v>
      </c>
      <c r="AQ87">
        <v>0</v>
      </c>
      <c r="AR87">
        <v>1</v>
      </c>
      <c r="AS87">
        <v>1.6633719288336599</v>
      </c>
      <c r="AT87">
        <v>1</v>
      </c>
      <c r="AU87">
        <v>7.8570977710609098</v>
      </c>
      <c r="AV87">
        <v>2.6326835054643598</v>
      </c>
      <c r="AW87">
        <v>2.87999028746261</v>
      </c>
      <c r="AX87">
        <v>89</v>
      </c>
      <c r="AY87">
        <v>41</v>
      </c>
      <c r="AZ87">
        <v>6</v>
      </c>
      <c r="BA87">
        <v>0</v>
      </c>
      <c r="BB87">
        <v>0</v>
      </c>
      <c r="BC87">
        <v>2</v>
      </c>
      <c r="BD87">
        <v>0</v>
      </c>
      <c r="BE87">
        <v>0</v>
      </c>
      <c r="BF87">
        <v>2</v>
      </c>
      <c r="BG87">
        <v>2</v>
      </c>
      <c r="BH87">
        <v>0</v>
      </c>
      <c r="BI87">
        <v>6</v>
      </c>
      <c r="BJ87">
        <v>6</v>
      </c>
      <c r="BK87">
        <v>2.87999028746261</v>
      </c>
      <c r="BL87">
        <v>89</v>
      </c>
      <c r="BM87">
        <v>41</v>
      </c>
      <c r="BN87">
        <v>5.0610714749561598</v>
      </c>
      <c r="BO87">
        <v>34624.484197786202</v>
      </c>
      <c r="BP87" t="s">
        <v>552</v>
      </c>
      <c r="BQ87" t="str">
        <f>SUBSTITUTE(SUBSTITUTE(SUBSTITUTE(SUBSTITUTE(SUBSTITUTE(SUBSTITUTE(SUBSTITUTE(I87,"[",""),"]",""),"'",""),"M1-LOD-KS","לוד-כפרסבא (מטרו)"),"M1-KS-LOD","כפר סבא-לוד (מטרו)"),"M1-RA-RE","רעננה-רחובות (מטרו)"),"M1-RE-RA","רחובות-רעננה (מטרו)")</f>
        <v>חולון-הרצליה (רק"ל), הרצליה-חולון (רק"ל), רצועת הנופש-צומת חולון (BRT), צומת חולון-רצועת הנופש (BRT), הרצליה-בת ים (מטרו), בת ים-הרצליה (מטרו)</v>
      </c>
      <c r="BR87">
        <f>IF($AP87="ארצי",COUNTIFS($AP$2:$AP$143,"ארצי",$BK$2:$BK$143,"&gt;"&amp;$BK87)+1,COUNTIFS($AP$2:$AP$143,$AP87,$L$2:$L$143,$L87,$BK$2:$BK$143,"&gt;"&amp;$BK87)+1)</f>
        <v>26</v>
      </c>
    </row>
    <row r="88" spans="1:70" x14ac:dyDescent="0.25">
      <c r="A88">
        <v>412</v>
      </c>
      <c r="B88">
        <v>34.932996537492599</v>
      </c>
      <c r="C88">
        <v>32.0626076037777</v>
      </c>
      <c r="D88" t="s">
        <v>553</v>
      </c>
      <c r="E88" t="s">
        <v>554</v>
      </c>
      <c r="F88" t="s">
        <v>348</v>
      </c>
      <c r="G88" t="s">
        <v>349</v>
      </c>
      <c r="H88" t="s">
        <v>555</v>
      </c>
      <c r="I88" t="s">
        <v>556</v>
      </c>
      <c r="J88" t="s">
        <v>74</v>
      </c>
      <c r="K88" t="s">
        <v>75</v>
      </c>
      <c r="L88" t="s">
        <v>75</v>
      </c>
      <c r="M88" t="s">
        <v>131</v>
      </c>
      <c r="N88" t="s">
        <v>132</v>
      </c>
      <c r="O88">
        <v>2931.22</v>
      </c>
      <c r="P88">
        <v>2810.8</v>
      </c>
      <c r="Q88">
        <v>0.95891812965249901</v>
      </c>
      <c r="R88">
        <v>2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6</v>
      </c>
      <c r="Z88">
        <v>1212.14600766183</v>
      </c>
      <c r="AA88">
        <v>498.736847785973</v>
      </c>
      <c r="AB88">
        <v>2067.3014681888098</v>
      </c>
      <c r="AC88">
        <v>966.64078381850902</v>
      </c>
      <c r="AD88">
        <v>1246.59637360734</v>
      </c>
      <c r="AE88">
        <v>659.37398601967698</v>
      </c>
      <c r="AF88">
        <v>4526.0438494579903</v>
      </c>
      <c r="AG88">
        <v>2124.7516176241602</v>
      </c>
      <c r="AH88">
        <v>0</v>
      </c>
      <c r="AI88">
        <v>2</v>
      </c>
      <c r="AJ88">
        <v>0</v>
      </c>
      <c r="AK88">
        <v>2</v>
      </c>
      <c r="AL88">
        <v>48.4</v>
      </c>
      <c r="AM88">
        <v>2</v>
      </c>
      <c r="AN88" t="s">
        <v>140</v>
      </c>
      <c r="AO88" t="b">
        <v>0</v>
      </c>
      <c r="AP88" t="s">
        <v>140</v>
      </c>
      <c r="AQ88">
        <v>2</v>
      </c>
      <c r="AR88">
        <v>1</v>
      </c>
      <c r="AS88">
        <v>1.97853713640214</v>
      </c>
      <c r="AT88">
        <v>7</v>
      </c>
      <c r="AU88">
        <v>2.81555214258707</v>
      </c>
      <c r="AV88">
        <v>1.1617169137391901</v>
      </c>
      <c r="AW88">
        <v>2.8707998512429498</v>
      </c>
      <c r="AX88">
        <v>90</v>
      </c>
      <c r="AY88">
        <v>16</v>
      </c>
      <c r="AZ88">
        <v>8</v>
      </c>
      <c r="BA88">
        <v>2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2</v>
      </c>
      <c r="BJ88">
        <v>8</v>
      </c>
      <c r="BK88">
        <v>2.8707998512429498</v>
      </c>
      <c r="BL88">
        <v>90</v>
      </c>
      <c r="BM88">
        <v>16</v>
      </c>
      <c r="BN88">
        <v>3.46704841523148</v>
      </c>
      <c r="BO88">
        <v>4045.7854030912299</v>
      </c>
      <c r="BP88" t="s">
        <v>557</v>
      </c>
      <c r="BQ88" t="str">
        <f>SUBSTITUTE(SUBSTITUTE(SUBSTITUTE(SUBSTITUTE(SUBSTITUTE(SUBSTITUTE(SUBSTITUTE(I88,"[",""),"]",""),"'",""),"M1-LOD-KS","לוד-כפרסבא (מטרו)"),"M1-KS-LOD","כפר סבא-לוד (מטרו)"),"M1-RA-RE","רעננה-רחובות (מטרו)"),"M1-RE-RA","רחובות-רעננה (מטרו)")</f>
        <v>פ"ת-אלעד (BRT), אלעד-פ"ת (BRT), שוקת-חדרה (רכבת פרברית), חריש-ירושלים (רכבת פרברית), הרצליה-בית שאן (רכבת פרברית), בית שאן-הרצליה (רכבת פרברית), חדרה-שוקת (רכבת פרברית), ירושלים-חריש (רכבת פרברית)</v>
      </c>
      <c r="BR88">
        <f>IF($AP88="ארצי",COUNTIFS($AP$2:$AP$143,"ארצי",$BK$2:$BK$143,"&gt;"&amp;$BK88)+1,COUNTIFS($AP$2:$AP$143,$AP88,$L$2:$L$143,$L88,$BK$2:$BK$143,"&gt;"&amp;$BK88)+1)</f>
        <v>6</v>
      </c>
    </row>
    <row r="89" spans="1:70" x14ac:dyDescent="0.25">
      <c r="A89">
        <v>332</v>
      </c>
      <c r="B89">
        <v>34.865485283222</v>
      </c>
      <c r="C89">
        <v>31.9303381620823</v>
      </c>
      <c r="D89" t="s">
        <v>774</v>
      </c>
      <c r="E89" t="s">
        <v>775</v>
      </c>
      <c r="F89" t="s">
        <v>728</v>
      </c>
      <c r="G89" t="s">
        <v>729</v>
      </c>
      <c r="H89" t="s">
        <v>730</v>
      </c>
      <c r="I89" t="s">
        <v>731</v>
      </c>
      <c r="J89" t="s">
        <v>74</v>
      </c>
      <c r="K89" t="s">
        <v>75</v>
      </c>
      <c r="L89" t="s">
        <v>75</v>
      </c>
      <c r="M89" t="s">
        <v>216</v>
      </c>
      <c r="N89" t="s">
        <v>132</v>
      </c>
      <c r="O89">
        <v>8651.6099999999897</v>
      </c>
      <c r="P89">
        <v>1899.97</v>
      </c>
      <c r="Q89">
        <v>0.219608835812062</v>
      </c>
      <c r="R89">
        <v>4</v>
      </c>
      <c r="S89">
        <v>0</v>
      </c>
      <c r="T89">
        <v>0</v>
      </c>
      <c r="U89">
        <v>0</v>
      </c>
      <c r="V89">
        <v>0</v>
      </c>
      <c r="W89">
        <v>0</v>
      </c>
      <c r="X89">
        <v>2</v>
      </c>
      <c r="Y89">
        <v>0</v>
      </c>
      <c r="Z89">
        <v>12846.013496044399</v>
      </c>
      <c r="AA89">
        <v>2500.6109278592598</v>
      </c>
      <c r="AB89">
        <v>22227.350011370901</v>
      </c>
      <c r="AC89">
        <v>4390.4830315889303</v>
      </c>
      <c r="AD89">
        <v>14497.922555867301</v>
      </c>
      <c r="AE89">
        <v>3120.7604470322699</v>
      </c>
      <c r="AF89">
        <v>49571.2860632827</v>
      </c>
      <c r="AG89">
        <v>10011.854406480399</v>
      </c>
      <c r="AH89">
        <v>0</v>
      </c>
      <c r="AI89">
        <v>2</v>
      </c>
      <c r="AJ89">
        <v>0</v>
      </c>
      <c r="AK89">
        <v>2</v>
      </c>
      <c r="AL89">
        <v>30.8</v>
      </c>
      <c r="AM89">
        <v>0</v>
      </c>
      <c r="AN89" t="s">
        <v>103</v>
      </c>
      <c r="AO89" t="b">
        <v>0</v>
      </c>
      <c r="AP89" t="s">
        <v>103</v>
      </c>
      <c r="AQ89">
        <v>0</v>
      </c>
      <c r="AR89">
        <v>1</v>
      </c>
      <c r="AS89">
        <v>1.5312058740468699</v>
      </c>
      <c r="AT89">
        <v>1</v>
      </c>
      <c r="AU89">
        <v>2.15147183060308</v>
      </c>
      <c r="AV89">
        <v>1.82930610044495</v>
      </c>
      <c r="AW89">
        <v>1.5405876582409901</v>
      </c>
      <c r="AX89">
        <v>144</v>
      </c>
      <c r="AY89">
        <v>68</v>
      </c>
      <c r="AZ89">
        <v>6</v>
      </c>
      <c r="BA89">
        <v>0</v>
      </c>
      <c r="BB89">
        <v>0</v>
      </c>
      <c r="BC89">
        <v>2</v>
      </c>
      <c r="BD89">
        <v>0</v>
      </c>
      <c r="BE89">
        <v>0</v>
      </c>
      <c r="BF89">
        <v>2</v>
      </c>
      <c r="BG89">
        <v>0</v>
      </c>
      <c r="BH89">
        <v>0</v>
      </c>
      <c r="BI89">
        <v>4</v>
      </c>
      <c r="BJ89">
        <v>6</v>
      </c>
      <c r="BK89">
        <v>1.5405876582409901</v>
      </c>
      <c r="BL89">
        <v>144</v>
      </c>
      <c r="BM89">
        <v>68</v>
      </c>
      <c r="BN89">
        <v>3.9370969339448698</v>
      </c>
      <c r="BO89">
        <v>17923.740737840901</v>
      </c>
      <c r="BP89" t="s">
        <v>793</v>
      </c>
      <c r="BQ89" t="str">
        <f>SUBSTITUTE(SUBSTITUTE(SUBSTITUTE(SUBSTITUTE(SUBSTITUTE(SUBSTITUTE(SUBSTITUTE(I89,"[",""),"]",""),"'",""),"M1-LOD-KS","לוד-כפרסבא (מטרו)"),"M1-KS-LOD","כפר סבא-לוד (מטרו)"),"M1-RA-RE","רעננה-רחובות (מטרו)"),"M1-RE-RA","רחובות-רעננה (מטרו)")</f>
        <v>אסף הרופא-אירפורט סיטי (BRT), אירפורא סיטי-אסף הרופא (BRT), לוד-כפרסבא (מטרו), רצועת הנופש-צומת חולון (BRT), צומת חולון-רצועת הנופש (BRT), כפר סבא-לוד (מטרו)</v>
      </c>
      <c r="BR89">
        <f>IF($AP89="ארצי",COUNTIFS($AP$2:$AP$143,"ארצי",$BK$2:$BK$143,"&gt;"&amp;$BK89)+1,COUNTIFS($AP$2:$AP$143,$AP89,$L$2:$L$143,$L89,$BK$2:$BK$143,"&gt;"&amp;$BK89)+1)</f>
        <v>51</v>
      </c>
    </row>
    <row r="90" spans="1:70" x14ac:dyDescent="0.25">
      <c r="A90">
        <v>515</v>
      </c>
      <c r="B90">
        <v>35.108144993585903</v>
      </c>
      <c r="C90">
        <v>32.816776135437699</v>
      </c>
      <c r="D90" t="s">
        <v>562</v>
      </c>
      <c r="E90" t="s">
        <v>563</v>
      </c>
      <c r="F90" t="s">
        <v>127</v>
      </c>
      <c r="G90" t="s">
        <v>128</v>
      </c>
      <c r="H90" t="s">
        <v>564</v>
      </c>
      <c r="I90" t="s">
        <v>565</v>
      </c>
      <c r="J90" t="s">
        <v>74</v>
      </c>
      <c r="K90" t="s">
        <v>94</v>
      </c>
      <c r="L90" t="s">
        <v>94</v>
      </c>
      <c r="M90" t="s">
        <v>139</v>
      </c>
      <c r="N90" t="s">
        <v>132</v>
      </c>
      <c r="O90">
        <v>1249.3475901500001</v>
      </c>
      <c r="P90">
        <v>512.55425561000004</v>
      </c>
      <c r="Q90">
        <v>0.410257529330537</v>
      </c>
      <c r="R90">
        <v>6</v>
      </c>
      <c r="S90">
        <v>0</v>
      </c>
      <c r="T90">
        <v>0</v>
      </c>
      <c r="U90">
        <v>0</v>
      </c>
      <c r="V90">
        <v>0</v>
      </c>
      <c r="W90">
        <v>4</v>
      </c>
      <c r="X90">
        <v>0</v>
      </c>
      <c r="Y90">
        <v>0</v>
      </c>
      <c r="Z90">
        <v>7022.9407178879201</v>
      </c>
      <c r="AA90">
        <v>1618.4589906103799</v>
      </c>
      <c r="AB90">
        <v>14879.6770579194</v>
      </c>
      <c r="AC90">
        <v>3750.5519061814998</v>
      </c>
      <c r="AD90">
        <v>9652.1579827923106</v>
      </c>
      <c r="AE90">
        <v>2301.84495330359</v>
      </c>
      <c r="AF90">
        <v>31554.775758599601</v>
      </c>
      <c r="AG90">
        <v>7670.8558500954796</v>
      </c>
      <c r="AH90">
        <v>1</v>
      </c>
      <c r="AI90">
        <v>2</v>
      </c>
      <c r="AJ90">
        <v>2</v>
      </c>
      <c r="AK90">
        <v>2</v>
      </c>
      <c r="AL90">
        <v>48.4</v>
      </c>
      <c r="AM90">
        <v>0</v>
      </c>
      <c r="AN90" t="s">
        <v>140</v>
      </c>
      <c r="AO90" t="b">
        <v>0</v>
      </c>
      <c r="AP90" t="s">
        <v>140</v>
      </c>
      <c r="AQ90">
        <v>0</v>
      </c>
      <c r="AR90">
        <v>7</v>
      </c>
      <c r="AS90">
        <v>1.97853713640214</v>
      </c>
      <c r="AT90">
        <v>1</v>
      </c>
      <c r="AU90">
        <v>1</v>
      </c>
      <c r="AV90">
        <v>2.2552335593158199</v>
      </c>
      <c r="AW90">
        <v>2.84446723198471</v>
      </c>
      <c r="AX90">
        <v>92</v>
      </c>
      <c r="AY90">
        <v>18</v>
      </c>
      <c r="AZ90">
        <v>10</v>
      </c>
      <c r="BA90">
        <v>0</v>
      </c>
      <c r="BB90">
        <v>0</v>
      </c>
      <c r="BC90">
        <v>4</v>
      </c>
      <c r="BD90">
        <v>0</v>
      </c>
      <c r="BE90">
        <v>0</v>
      </c>
      <c r="BF90">
        <v>0</v>
      </c>
      <c r="BG90">
        <v>4</v>
      </c>
      <c r="BH90">
        <v>0</v>
      </c>
      <c r="BI90">
        <v>8</v>
      </c>
      <c r="BJ90">
        <v>10</v>
      </c>
      <c r="BK90">
        <v>2.84446723198471</v>
      </c>
      <c r="BL90">
        <v>92</v>
      </c>
      <c r="BM90">
        <v>18</v>
      </c>
      <c r="BN90">
        <v>3.09668328343643</v>
      </c>
      <c r="BO90">
        <v>26777.991776898802</v>
      </c>
      <c r="BP90" t="s">
        <v>566</v>
      </c>
      <c r="BQ90" t="str">
        <f>SUBSTITUTE(SUBSTITUTE(SUBSTITUTE(SUBSTITUTE(SUBSTITUTE(SUBSTITUTE(SUBSTITUTE(I90,"[",""),"]",""),"'",""),"M1-LOD-KS","לוד-כפרסבא (מטרו)"),"M1-KS-LOD","כפר סבא-לוד (מטרו)"),"M1-RA-RE","רעננה-רחובות (מטרו)"),"M1-RE-RA","רחובות-רעננה (מטרו)")</f>
        <v>נצרת-חוף הכרמל (רק"ל), מרכזית המפרץ-נצרת (רק"ל), נצרת-מרכזית המפרץ (רק"ל), חוף הכרמל-נצרת (רק"ל), מרכזית הקריות-גילעם (דרך הקריון) (BRT), גילעם-מרכזית הקריות (דרך בן גוריון) (BRT), גילעם-מרכזית הקריות (דרך הקריון) (BRT), מרכזית הקריות-גילעם (דרך בן גוריון) (BRT), מרכז הכרמל-גילעם (דרך המנהרות) (BRT), גילעם-מרכז הכרמל (דרך המנהרות) (BRT)</v>
      </c>
      <c r="BR90">
        <f>IF($AP90="ארצי",COUNTIFS($AP$2:$AP$143,"ארצי",$BK$2:$BK$143,"&gt;"&amp;$BK90)+1,COUNTIFS($AP$2:$AP$143,$AP90,$L$2:$L$143,$L90,$BK$2:$BK$143,"&gt;"&amp;$BK90)+1)</f>
        <v>9</v>
      </c>
    </row>
    <row r="91" spans="1:70" x14ac:dyDescent="0.25">
      <c r="A91">
        <v>28</v>
      </c>
      <c r="B91">
        <v>34.882049547142898</v>
      </c>
      <c r="C91">
        <v>32.323599424974901</v>
      </c>
      <c r="D91" t="s">
        <v>567</v>
      </c>
      <c r="E91" t="s">
        <v>568</v>
      </c>
      <c r="F91" t="s">
        <v>569</v>
      </c>
      <c r="G91" t="s">
        <v>570</v>
      </c>
      <c r="H91" t="s">
        <v>571</v>
      </c>
      <c r="I91" t="s">
        <v>572</v>
      </c>
      <c r="J91" t="s">
        <v>74</v>
      </c>
      <c r="K91" t="s">
        <v>75</v>
      </c>
      <c r="L91" t="s">
        <v>75</v>
      </c>
      <c r="M91" t="s">
        <v>131</v>
      </c>
      <c r="N91" t="s">
        <v>132</v>
      </c>
      <c r="O91">
        <v>31779.31</v>
      </c>
      <c r="P91">
        <v>25651.5</v>
      </c>
      <c r="Q91">
        <v>0.80717611552925395</v>
      </c>
      <c r="R91">
        <v>4</v>
      </c>
      <c r="S91">
        <v>0</v>
      </c>
      <c r="T91">
        <v>0</v>
      </c>
      <c r="U91">
        <v>0</v>
      </c>
      <c r="V91">
        <v>0</v>
      </c>
      <c r="W91">
        <v>6</v>
      </c>
      <c r="X91">
        <v>0</v>
      </c>
      <c r="Y91">
        <v>0</v>
      </c>
      <c r="Z91">
        <v>2951.1317283051899</v>
      </c>
      <c r="AA91">
        <v>3084.0025911698999</v>
      </c>
      <c r="AB91">
        <v>5551.1473563545596</v>
      </c>
      <c r="AC91">
        <v>5543.8234574774297</v>
      </c>
      <c r="AD91">
        <v>3506.6427436003701</v>
      </c>
      <c r="AE91">
        <v>3380.6514941842402</v>
      </c>
      <c r="AF91">
        <v>12008.9218282601</v>
      </c>
      <c r="AG91">
        <v>12008.477542831501</v>
      </c>
      <c r="AH91">
        <v>0</v>
      </c>
      <c r="AI91">
        <v>2</v>
      </c>
      <c r="AJ91">
        <v>0</v>
      </c>
      <c r="AK91">
        <v>2</v>
      </c>
      <c r="AL91">
        <v>50.6</v>
      </c>
      <c r="AM91">
        <v>0</v>
      </c>
      <c r="AN91" t="s">
        <v>140</v>
      </c>
      <c r="AO91" t="b">
        <v>0</v>
      </c>
      <c r="AP91" t="s">
        <v>140</v>
      </c>
      <c r="AQ91">
        <v>0</v>
      </c>
      <c r="AR91">
        <v>1</v>
      </c>
      <c r="AS91">
        <v>2.0344535441965501</v>
      </c>
      <c r="AT91">
        <v>1</v>
      </c>
      <c r="AU91">
        <v>7.8896552015077797</v>
      </c>
      <c r="AV91">
        <v>1.5447736624783099</v>
      </c>
      <c r="AW91">
        <v>2.8334279197705898</v>
      </c>
      <c r="AX91">
        <v>93</v>
      </c>
      <c r="AY91">
        <v>19</v>
      </c>
      <c r="AZ91">
        <v>10</v>
      </c>
      <c r="BA91">
        <v>0</v>
      </c>
      <c r="BB91">
        <v>0</v>
      </c>
      <c r="BC91">
        <v>4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4</v>
      </c>
      <c r="BJ91">
        <v>10</v>
      </c>
      <c r="BK91">
        <v>2.8334279197705898</v>
      </c>
      <c r="BL91">
        <v>93</v>
      </c>
      <c r="BM91">
        <v>19</v>
      </c>
      <c r="BN91">
        <v>4.5021444634677801</v>
      </c>
      <c r="BO91">
        <v>12008.832971174401</v>
      </c>
      <c r="BP91" t="s">
        <v>573</v>
      </c>
      <c r="BQ91" t="str">
        <f>SUBSTITUTE(SUBSTITUTE(SUBSTITUTE(SUBSTITUTE(SUBSTITUTE(SUBSTITUTE(SUBSTITUTE(I91,"[",""),"]",""),"'",""),"M1-LOD-KS","לוד-כפרסבא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הרצליה-נתניה מזרח (רק"ל), נתניה-כפ"ס דרך טייבה/קלאנסווה (BRT), נתניה מזרח-הרצליה (רק"ל)</v>
      </c>
      <c r="BR91">
        <f>IF($AP91="ארצי",COUNTIFS($AP$2:$AP$143,"ארצי",$BK$2:$BK$143,"&gt;"&amp;$BK91)+1,COUNTIFS($AP$2:$AP$143,$AP91,$L$2:$L$143,$L91,$BK$2:$BK$143,"&gt;"&amp;$BK91)+1)</f>
        <v>7</v>
      </c>
    </row>
    <row r="92" spans="1:70" x14ac:dyDescent="0.25">
      <c r="A92">
        <v>430</v>
      </c>
      <c r="B92">
        <v>34.866423331917403</v>
      </c>
      <c r="C92">
        <v>32.088559642170402</v>
      </c>
      <c r="D92" t="s">
        <v>574</v>
      </c>
      <c r="E92" t="s">
        <v>575</v>
      </c>
      <c r="F92" t="s">
        <v>202</v>
      </c>
      <c r="G92" t="s">
        <v>203</v>
      </c>
      <c r="H92" t="s">
        <v>576</v>
      </c>
      <c r="I92" t="s">
        <v>577</v>
      </c>
      <c r="J92" t="s">
        <v>74</v>
      </c>
      <c r="K92" t="s">
        <v>75</v>
      </c>
      <c r="L92" t="s">
        <v>75</v>
      </c>
      <c r="M92" t="s">
        <v>216</v>
      </c>
      <c r="N92" t="s">
        <v>132</v>
      </c>
      <c r="O92">
        <v>66308.34</v>
      </c>
      <c r="P92">
        <v>47929.9</v>
      </c>
      <c r="Q92">
        <v>0.72283365863177995</v>
      </c>
      <c r="R92">
        <v>0</v>
      </c>
      <c r="S92">
        <v>0</v>
      </c>
      <c r="T92">
        <v>0</v>
      </c>
      <c r="U92">
        <v>0</v>
      </c>
      <c r="V92">
        <v>0</v>
      </c>
      <c r="W92">
        <v>2</v>
      </c>
      <c r="X92">
        <v>2</v>
      </c>
      <c r="Y92">
        <v>0</v>
      </c>
      <c r="Z92">
        <v>13257.692047471</v>
      </c>
      <c r="AA92">
        <v>19926.821875441299</v>
      </c>
      <c r="AB92">
        <v>26360.6738119703</v>
      </c>
      <c r="AC92">
        <v>24202.182789987699</v>
      </c>
      <c r="AD92">
        <v>18334.503532488099</v>
      </c>
      <c r="AE92">
        <v>16186.3650572676</v>
      </c>
      <c r="AF92">
        <v>57952.869391929496</v>
      </c>
      <c r="AG92">
        <v>60315.369722696603</v>
      </c>
      <c r="AH92">
        <v>0</v>
      </c>
      <c r="AI92">
        <v>2</v>
      </c>
      <c r="AJ92">
        <v>0</v>
      </c>
      <c r="AK92">
        <v>2</v>
      </c>
      <c r="AL92">
        <v>24.2</v>
      </c>
      <c r="AM92">
        <v>0</v>
      </c>
      <c r="AN92" t="s">
        <v>103</v>
      </c>
      <c r="AO92" t="b">
        <v>0</v>
      </c>
      <c r="AP92" t="s">
        <v>103</v>
      </c>
      <c r="AQ92">
        <v>0</v>
      </c>
      <c r="AR92">
        <v>1</v>
      </c>
      <c r="AS92">
        <v>1.3634566506636501</v>
      </c>
      <c r="AT92">
        <v>1</v>
      </c>
      <c r="AU92">
        <v>6.6413083546279896</v>
      </c>
      <c r="AV92">
        <v>3.84579603049814</v>
      </c>
      <c r="AW92">
        <v>2.8193068798431802</v>
      </c>
      <c r="AX92">
        <v>94</v>
      </c>
      <c r="AY92">
        <v>42</v>
      </c>
      <c r="AZ92">
        <v>4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2</v>
      </c>
      <c r="BG92">
        <v>0</v>
      </c>
      <c r="BH92">
        <v>0</v>
      </c>
      <c r="BI92">
        <v>2</v>
      </c>
      <c r="BJ92">
        <v>4</v>
      </c>
      <c r="BK92">
        <v>2.8193068798431802</v>
      </c>
      <c r="BL92">
        <v>94</v>
      </c>
      <c r="BM92">
        <v>42</v>
      </c>
      <c r="BN92">
        <v>4.82156815567759</v>
      </c>
      <c r="BO92">
        <v>59842.869656543196</v>
      </c>
      <c r="BP92" t="s">
        <v>578</v>
      </c>
      <c r="BQ92" t="str">
        <f>SUBSTITUTE(SUBSTITUTE(SUBSTITUTE(SUBSTITUTE(SUBSTITUTE(SUBSTITUTE(SUBSTITUTE(I92,"[",""),"]",""),"'",""),"M1-LOD-KS","לוד-כפרסבא (מטרו)"),"M1-KS-LOD","כפר סבא-לוד (מטרו)"),"M1-RA-RE","רעננה-רחובות (מטרו)"),"M1-RE-RA","רחובות-רעננה (מטרו)")</f>
        <v>צומת בילו-צומת רעננה (רק"ל), צומת רעננה-צומת בילו (רק"ל), הרצליה-בת ים (מטרו), בת ים-הרצליה (מטרו)</v>
      </c>
      <c r="BR92">
        <f>IF($AP92="ארצי",COUNTIFS($AP$2:$AP$143,"ארצי",$BK$2:$BK$143,"&gt;"&amp;$BK92)+1,COUNTIFS($AP$2:$AP$143,$AP92,$L$2:$L$143,$L92,$BK$2:$BK$143,"&gt;"&amp;$BK92)+1)</f>
        <v>27</v>
      </c>
    </row>
    <row r="93" spans="1:70" x14ac:dyDescent="0.25">
      <c r="A93">
        <v>377</v>
      </c>
      <c r="B93">
        <v>34.817823521804399</v>
      </c>
      <c r="C93">
        <v>31.962720400365999</v>
      </c>
      <c r="D93" t="s">
        <v>579</v>
      </c>
      <c r="E93" t="s">
        <v>580</v>
      </c>
      <c r="F93" t="s">
        <v>127</v>
      </c>
      <c r="G93" t="s">
        <v>128</v>
      </c>
      <c r="H93" t="s">
        <v>581</v>
      </c>
      <c r="I93" t="s">
        <v>582</v>
      </c>
      <c r="J93" t="s">
        <v>74</v>
      </c>
      <c r="K93" t="s">
        <v>75</v>
      </c>
      <c r="L93" t="s">
        <v>75</v>
      </c>
      <c r="M93" t="s">
        <v>216</v>
      </c>
      <c r="N93" t="s">
        <v>132</v>
      </c>
      <c r="O93">
        <v>6384.15</v>
      </c>
      <c r="P93">
        <v>619.77459999999996</v>
      </c>
      <c r="Q93">
        <v>9.7080206448783304E-2</v>
      </c>
      <c r="R93">
        <v>3</v>
      </c>
      <c r="S93">
        <v>0</v>
      </c>
      <c r="T93">
        <v>0</v>
      </c>
      <c r="U93">
        <v>0</v>
      </c>
      <c r="V93">
        <v>0</v>
      </c>
      <c r="W93">
        <v>3</v>
      </c>
      <c r="X93">
        <v>0</v>
      </c>
      <c r="Y93">
        <v>0</v>
      </c>
      <c r="Z93">
        <v>20008.532622306298</v>
      </c>
      <c r="AA93">
        <v>7659.9519572763302</v>
      </c>
      <c r="AB93">
        <v>30386.656099753502</v>
      </c>
      <c r="AC93">
        <v>9399.1515016228004</v>
      </c>
      <c r="AD93">
        <v>20170.975039480702</v>
      </c>
      <c r="AE93">
        <v>5517.4514493337001</v>
      </c>
      <c r="AF93">
        <v>70566.163761540607</v>
      </c>
      <c r="AG93">
        <v>22576.5549082328</v>
      </c>
      <c r="AH93">
        <v>0</v>
      </c>
      <c r="AI93">
        <v>2</v>
      </c>
      <c r="AJ93">
        <v>0</v>
      </c>
      <c r="AK93">
        <v>2</v>
      </c>
      <c r="AL93">
        <v>29.7</v>
      </c>
      <c r="AM93">
        <v>0</v>
      </c>
      <c r="AN93" t="s">
        <v>140</v>
      </c>
      <c r="AO93" t="b">
        <v>0</v>
      </c>
      <c r="AP93" t="s">
        <v>140</v>
      </c>
      <c r="AQ93">
        <v>0</v>
      </c>
      <c r="AR93">
        <v>1</v>
      </c>
      <c r="AS93">
        <v>1.50324767014967</v>
      </c>
      <c r="AT93">
        <v>1</v>
      </c>
      <c r="AU93">
        <v>4.4727164455957498</v>
      </c>
      <c r="AV93">
        <v>3.89993126751963</v>
      </c>
      <c r="AW93">
        <v>2.7777195259052698</v>
      </c>
      <c r="AX93">
        <v>95</v>
      </c>
      <c r="AY93">
        <v>20</v>
      </c>
      <c r="AZ93">
        <v>6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6</v>
      </c>
      <c r="BG93">
        <v>0</v>
      </c>
      <c r="BH93">
        <v>0</v>
      </c>
      <c r="BI93">
        <v>6</v>
      </c>
      <c r="BJ93">
        <v>6</v>
      </c>
      <c r="BK93">
        <v>2.7777195259052698</v>
      </c>
      <c r="BL93">
        <v>95</v>
      </c>
      <c r="BM93">
        <v>20</v>
      </c>
      <c r="BN93">
        <v>3.8051030825104299</v>
      </c>
      <c r="BO93">
        <v>60968.241990879003</v>
      </c>
      <c r="BP93" t="s">
        <v>583</v>
      </c>
      <c r="BQ93" t="str">
        <f>SUBSTITUTE(SUBSTITUTE(SUBSTITUTE(SUBSTITUTE(SUBSTITUTE(SUBSTITUTE(SUBSTITUTE(I93,"[",""),"]",""),"'",""),"M1-LOD-KS","לוד-כפרסבא (מטרו)"),"M1-KS-LOD","כפר סבא-לוד (מטרו)"),"M1-RA-RE","רעננה-רחובות (מטרו)"),"M1-RE-RA","רחובות-רעננה (מטרו)")</f>
        <v>אסף הרופא-חוף ראשל"צ (רק"ל), אסף הרופא-מתחם ה-1000 (רק"ל), תחנה מרכזית ראשל"צ-לוד (BRT), לוד-תחנה מרכזית ראשל"צ (BRT), מתחם ה-1000-אסף הרופא (רק"ל), חוף ראשל"צ-אסף הרופא (רק"ל)</v>
      </c>
      <c r="BR93">
        <f>IF($AP93="ארצי",COUNTIFS($AP$2:$AP$143,"ארצי",$BK$2:$BK$143,"&gt;"&amp;$BK93)+1,COUNTIFS($AP$2:$AP$143,$AP93,$L$2:$L$143,$L93,$BK$2:$BK$143,"&gt;"&amp;$BK93)+1)</f>
        <v>8</v>
      </c>
    </row>
    <row r="94" spans="1:70" x14ac:dyDescent="0.25">
      <c r="A94">
        <v>31</v>
      </c>
      <c r="B94">
        <v>34.875042878362997</v>
      </c>
      <c r="C94">
        <v>32.318871603931498</v>
      </c>
      <c r="D94" t="s">
        <v>584</v>
      </c>
      <c r="E94" t="s">
        <v>585</v>
      </c>
      <c r="F94" t="s">
        <v>127</v>
      </c>
      <c r="G94" t="s">
        <v>128</v>
      </c>
      <c r="H94" t="s">
        <v>144</v>
      </c>
      <c r="I94" t="s">
        <v>145</v>
      </c>
      <c r="J94" t="s">
        <v>74</v>
      </c>
      <c r="K94" t="s">
        <v>75</v>
      </c>
      <c r="L94" t="s">
        <v>75</v>
      </c>
      <c r="M94" t="s">
        <v>131</v>
      </c>
      <c r="N94" t="s">
        <v>132</v>
      </c>
      <c r="O94">
        <v>2179.41</v>
      </c>
      <c r="P94">
        <v>147.06</v>
      </c>
      <c r="Q94">
        <v>6.7476977714151995E-2</v>
      </c>
      <c r="R94">
        <v>1</v>
      </c>
      <c r="S94">
        <v>0</v>
      </c>
      <c r="T94">
        <v>0</v>
      </c>
      <c r="U94">
        <v>0</v>
      </c>
      <c r="V94">
        <v>0</v>
      </c>
      <c r="W94">
        <v>1</v>
      </c>
      <c r="X94">
        <v>0</v>
      </c>
      <c r="Y94">
        <v>0</v>
      </c>
      <c r="Z94">
        <v>1006.75361664818</v>
      </c>
      <c r="AA94">
        <v>7956.2543011456301</v>
      </c>
      <c r="AB94">
        <v>8584.58885350335</v>
      </c>
      <c r="AC94">
        <v>9184.5578813765496</v>
      </c>
      <c r="AD94">
        <v>10808.8751838363</v>
      </c>
      <c r="AE94">
        <v>4365.0754336984601</v>
      </c>
      <c r="AF94">
        <v>20400.217653987798</v>
      </c>
      <c r="AG94">
        <v>21505.8876162206</v>
      </c>
      <c r="AH94">
        <v>0</v>
      </c>
      <c r="AI94">
        <v>2</v>
      </c>
      <c r="AJ94">
        <v>0</v>
      </c>
      <c r="AK94">
        <v>2</v>
      </c>
      <c r="AL94">
        <v>9.9</v>
      </c>
      <c r="AM94">
        <v>0</v>
      </c>
      <c r="AN94" t="s">
        <v>133</v>
      </c>
      <c r="AO94" t="b">
        <v>0</v>
      </c>
      <c r="AP94" t="s">
        <v>133</v>
      </c>
      <c r="AQ94">
        <v>0</v>
      </c>
      <c r="AR94">
        <v>1</v>
      </c>
      <c r="AS94">
        <v>1</v>
      </c>
      <c r="AT94">
        <v>1</v>
      </c>
      <c r="AU94">
        <v>2.4710746092562599</v>
      </c>
      <c r="AV94">
        <v>1.9909852386829501</v>
      </c>
      <c r="AW94">
        <v>2.74693133645924</v>
      </c>
      <c r="AX94">
        <v>97</v>
      </c>
      <c r="AY94">
        <v>21</v>
      </c>
      <c r="AZ94">
        <v>2</v>
      </c>
      <c r="BA94">
        <v>0</v>
      </c>
      <c r="BB94">
        <v>0</v>
      </c>
      <c r="BC94">
        <v>2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2</v>
      </c>
      <c r="BJ94">
        <v>2</v>
      </c>
      <c r="BK94">
        <v>2.74693133645924</v>
      </c>
      <c r="BL94">
        <v>97</v>
      </c>
      <c r="BM94">
        <v>21</v>
      </c>
      <c r="BN94">
        <v>3.3383389392814702</v>
      </c>
      <c r="BO94">
        <v>21284.753623773999</v>
      </c>
      <c r="BP94" t="s">
        <v>586</v>
      </c>
      <c r="BQ94" t="str">
        <f>SUBSTITUTE(SUBSTITUTE(SUBSTITUTE(SUBSTITUTE(SUBSTITUTE(SUBSTITUTE(SUBSTITUTE(I94,"[",""),"]",""),"'",""),"M1-LOD-KS","לוד-כפרסבא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94">
        <f>IF($AP94="ארצי",COUNTIFS($AP$2:$AP$143,"ארצי",$BK$2:$BK$143,"&gt;"&amp;$BK94)+1,COUNTIFS($AP$2:$AP$143,$AP94,$L$2:$L$143,$L94,$BK$2:$BK$143,"&gt;"&amp;$BK94)+1)</f>
        <v>21</v>
      </c>
    </row>
    <row r="95" spans="1:70" x14ac:dyDescent="0.25">
      <c r="A95">
        <v>22</v>
      </c>
      <c r="B95">
        <v>34.984786477377398</v>
      </c>
      <c r="C95">
        <v>32.2328188761159</v>
      </c>
      <c r="D95" t="s">
        <v>587</v>
      </c>
      <c r="E95" t="s">
        <v>588</v>
      </c>
      <c r="F95" t="s">
        <v>127</v>
      </c>
      <c r="G95" t="s">
        <v>128</v>
      </c>
      <c r="H95" t="s">
        <v>144</v>
      </c>
      <c r="I95" t="s">
        <v>145</v>
      </c>
      <c r="J95" t="s">
        <v>74</v>
      </c>
      <c r="K95" t="s">
        <v>75</v>
      </c>
      <c r="L95" t="s">
        <v>75</v>
      </c>
      <c r="M95" t="s">
        <v>131</v>
      </c>
      <c r="N95" t="s">
        <v>132</v>
      </c>
      <c r="O95">
        <v>4005</v>
      </c>
      <c r="P95">
        <v>3594.47</v>
      </c>
      <c r="Q95">
        <v>0.89749563046192204</v>
      </c>
      <c r="R95">
        <v>1</v>
      </c>
      <c r="S95">
        <v>0</v>
      </c>
      <c r="T95">
        <v>0</v>
      </c>
      <c r="U95">
        <v>0</v>
      </c>
      <c r="V95">
        <v>0</v>
      </c>
      <c r="W95">
        <v>1</v>
      </c>
      <c r="X95">
        <v>0</v>
      </c>
      <c r="Y95">
        <v>0</v>
      </c>
      <c r="Z95">
        <v>1797.73716059085</v>
      </c>
      <c r="AA95">
        <v>517.86296629441904</v>
      </c>
      <c r="AB95">
        <v>3492.3567065097</v>
      </c>
      <c r="AC95">
        <v>815.48345233707596</v>
      </c>
      <c r="AD95">
        <v>2334.0091387902698</v>
      </c>
      <c r="AE95">
        <v>528.38435459020104</v>
      </c>
      <c r="AF95">
        <v>7624.10300589083</v>
      </c>
      <c r="AG95">
        <v>1861.73077322169</v>
      </c>
      <c r="AH95">
        <v>0</v>
      </c>
      <c r="AI95">
        <v>2</v>
      </c>
      <c r="AJ95">
        <v>0</v>
      </c>
      <c r="AK95">
        <v>2</v>
      </c>
      <c r="AL95">
        <v>9.9</v>
      </c>
      <c r="AM95">
        <v>0</v>
      </c>
      <c r="AN95" t="s">
        <v>133</v>
      </c>
      <c r="AO95" t="b">
        <v>0</v>
      </c>
      <c r="AP95" t="s">
        <v>133</v>
      </c>
      <c r="AQ95">
        <v>0</v>
      </c>
      <c r="AR95">
        <v>1</v>
      </c>
      <c r="AS95">
        <v>1</v>
      </c>
      <c r="AT95">
        <v>1</v>
      </c>
      <c r="AU95">
        <v>4.0883753270448802</v>
      </c>
      <c r="AV95">
        <v>1.11209348154017</v>
      </c>
      <c r="AW95">
        <v>2.7278815526705702</v>
      </c>
      <c r="AX95">
        <v>98</v>
      </c>
      <c r="AY95">
        <v>22</v>
      </c>
      <c r="AZ95">
        <v>2</v>
      </c>
      <c r="BA95">
        <v>0</v>
      </c>
      <c r="BB95">
        <v>0</v>
      </c>
      <c r="BC95">
        <v>2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2</v>
      </c>
      <c r="BJ95">
        <v>2</v>
      </c>
      <c r="BK95">
        <v>2.7278815526705702</v>
      </c>
      <c r="BL95">
        <v>98</v>
      </c>
      <c r="BM95">
        <v>22</v>
      </c>
      <c r="BN95">
        <v>3.6026025204202501</v>
      </c>
      <c r="BO95">
        <v>3014.2052197555199</v>
      </c>
      <c r="BP95" t="s">
        <v>589</v>
      </c>
      <c r="BQ95" t="str">
        <f>SUBSTITUTE(SUBSTITUTE(SUBSTITUTE(SUBSTITUTE(SUBSTITUTE(SUBSTITUTE(SUBSTITUTE(I95,"[",""),"]",""),"'",""),"M1-LOD-KS","לוד-כפרסבא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95">
        <f>IF($AP95="ארצי",COUNTIFS($AP$2:$AP$143,"ארצי",$BK$2:$BK$143,"&gt;"&amp;$BK95)+1,COUNTIFS($AP$2:$AP$143,$AP95,$L$2:$L$143,$L95,$BK$2:$BK$143,"&gt;"&amp;$BK95)+1)</f>
        <v>22</v>
      </c>
    </row>
    <row r="96" spans="1:70" x14ac:dyDescent="0.25">
      <c r="A96">
        <v>635</v>
      </c>
      <c r="B96">
        <v>34.775258427165902</v>
      </c>
      <c r="C96">
        <v>32.005198717390698</v>
      </c>
      <c r="D96" t="s">
        <v>590</v>
      </c>
      <c r="E96" t="s">
        <v>591</v>
      </c>
      <c r="F96" t="s">
        <v>202</v>
      </c>
      <c r="G96" t="s">
        <v>203</v>
      </c>
      <c r="H96" t="s">
        <v>592</v>
      </c>
      <c r="I96" t="s">
        <v>593</v>
      </c>
      <c r="J96" t="s">
        <v>74</v>
      </c>
      <c r="K96" t="s">
        <v>75</v>
      </c>
      <c r="L96" t="s">
        <v>75</v>
      </c>
      <c r="M96" t="s">
        <v>139</v>
      </c>
      <c r="N96" t="s">
        <v>132</v>
      </c>
      <c r="O96">
        <v>62834.709999999897</v>
      </c>
      <c r="P96">
        <v>32177.93</v>
      </c>
      <c r="Q96">
        <v>0.51210437670516795</v>
      </c>
      <c r="R96">
        <v>0</v>
      </c>
      <c r="S96">
        <v>0</v>
      </c>
      <c r="T96">
        <v>0</v>
      </c>
      <c r="U96">
        <v>0</v>
      </c>
      <c r="V96">
        <v>0</v>
      </c>
      <c r="W96">
        <v>4</v>
      </c>
      <c r="X96">
        <v>4</v>
      </c>
      <c r="Y96">
        <v>0</v>
      </c>
      <c r="Z96">
        <v>25490.579973766198</v>
      </c>
      <c r="AA96">
        <v>4417.6832865588003</v>
      </c>
      <c r="AB96">
        <v>38212.747274473397</v>
      </c>
      <c r="AC96">
        <v>6408.8703385428298</v>
      </c>
      <c r="AD96">
        <v>28709.971864251798</v>
      </c>
      <c r="AE96">
        <v>6431.1626777817601</v>
      </c>
      <c r="AF96">
        <v>92413.299112491499</v>
      </c>
      <c r="AG96">
        <v>17257.7163028834</v>
      </c>
      <c r="AH96">
        <v>0</v>
      </c>
      <c r="AI96">
        <v>2</v>
      </c>
      <c r="AJ96">
        <v>0</v>
      </c>
      <c r="AK96">
        <v>2</v>
      </c>
      <c r="AL96">
        <v>48.4</v>
      </c>
      <c r="AM96">
        <v>0</v>
      </c>
      <c r="AN96" t="s">
        <v>103</v>
      </c>
      <c r="AO96" t="b">
        <v>0</v>
      </c>
      <c r="AP96" t="s">
        <v>103</v>
      </c>
      <c r="AQ96">
        <v>0</v>
      </c>
      <c r="AR96">
        <v>1</v>
      </c>
      <c r="AS96">
        <v>1.97853713640214</v>
      </c>
      <c r="AT96">
        <v>1</v>
      </c>
      <c r="AU96">
        <v>6.5226827569403598</v>
      </c>
      <c r="AV96">
        <v>2.5203286566265901</v>
      </c>
      <c r="AW96">
        <v>2.7264910347537601</v>
      </c>
      <c r="AX96">
        <v>99</v>
      </c>
      <c r="AY96">
        <v>43</v>
      </c>
      <c r="AZ96">
        <v>8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4</v>
      </c>
      <c r="BH96">
        <v>0</v>
      </c>
      <c r="BI96">
        <v>4</v>
      </c>
      <c r="BJ96">
        <v>8</v>
      </c>
      <c r="BK96">
        <v>2.7264910347537601</v>
      </c>
      <c r="BL96">
        <v>99</v>
      </c>
      <c r="BM96">
        <v>43</v>
      </c>
      <c r="BN96">
        <v>4.79819961502937</v>
      </c>
      <c r="BO96">
        <v>32288.832864805001</v>
      </c>
      <c r="BP96" t="s">
        <v>594</v>
      </c>
      <c r="BQ96" t="str">
        <f>SUBSTITUTE(SUBSTITUTE(SUBSTITUTE(SUBSTITUTE(SUBSTITUTE(SUBSTITUTE(SUBSTITUTE(I96,"[",""),"]",""),"'",""),"M1-LOD-KS","לוד-כפרסבא (מטרו)"),"M1-KS-LOD","כפר סבא-לוד (מטרו)"),"M1-RA-RE","רעננה-רחובות (מטרו)"),"M1-RE-RA","רחובות-רעננה (מטרו)")</f>
        <v>רחובות-רעננה (מטרו), לוד-כפרסבא (מטרו), ראשל"צ-עתידים (רק"ל), רעננה-רחובות (מטרו), חולון-אונ\ ת"א (רק"ל), עתידים-ראשל"צ (רק"ל), אונ\ ת"א-חולון (רק"ל), כפר סבא-לוד (מטרו)</v>
      </c>
      <c r="BR96">
        <f>IF($AP96="ארצי",COUNTIFS($AP$2:$AP$143,"ארצי",$BK$2:$BK$143,"&gt;"&amp;$BK96)+1,COUNTIFS($AP$2:$AP$143,$AP96,$L$2:$L$143,$L96,$BK$2:$BK$143,"&gt;"&amp;$BK96)+1)</f>
        <v>28</v>
      </c>
    </row>
    <row r="97" spans="1:70" x14ac:dyDescent="0.25">
      <c r="A97">
        <v>351</v>
      </c>
      <c r="B97">
        <v>34.8327225870622</v>
      </c>
      <c r="C97">
        <v>31.970961027596399</v>
      </c>
      <c r="D97" t="s">
        <v>506</v>
      </c>
      <c r="E97" t="s">
        <v>507</v>
      </c>
      <c r="F97" t="s">
        <v>313</v>
      </c>
      <c r="G97" t="s">
        <v>314</v>
      </c>
      <c r="H97" t="s">
        <v>479</v>
      </c>
      <c r="I97" t="s">
        <v>480</v>
      </c>
      <c r="J97" t="s">
        <v>74</v>
      </c>
      <c r="K97" t="s">
        <v>75</v>
      </c>
      <c r="L97" t="s">
        <v>75</v>
      </c>
      <c r="M97" t="s">
        <v>216</v>
      </c>
      <c r="N97" t="s">
        <v>132</v>
      </c>
      <c r="O97">
        <v>4622.51</v>
      </c>
      <c r="P97" s="1">
        <v>6.86E-5</v>
      </c>
      <c r="Q97" s="1">
        <v>1.48404221948681E-8</v>
      </c>
      <c r="R97">
        <v>2</v>
      </c>
      <c r="S97">
        <v>0</v>
      </c>
      <c r="T97">
        <v>0</v>
      </c>
      <c r="U97">
        <v>0</v>
      </c>
      <c r="V97">
        <v>0</v>
      </c>
      <c r="W97">
        <v>0</v>
      </c>
      <c r="X97">
        <v>2</v>
      </c>
      <c r="Y97">
        <v>0</v>
      </c>
      <c r="Z97">
        <v>8016.6135380300502</v>
      </c>
      <c r="AA97">
        <v>1760.7208940126</v>
      </c>
      <c r="AB97">
        <v>11012.0180466609</v>
      </c>
      <c r="AC97">
        <v>5155.0842990403899</v>
      </c>
      <c r="AD97">
        <v>5040.7547515749102</v>
      </c>
      <c r="AE97">
        <v>4481.5262003501102</v>
      </c>
      <c r="AF97">
        <v>24069.386336265801</v>
      </c>
      <c r="AG97">
        <v>11397.331393403099</v>
      </c>
      <c r="AH97">
        <v>0</v>
      </c>
      <c r="AI97">
        <v>2</v>
      </c>
      <c r="AJ97">
        <v>0</v>
      </c>
      <c r="AK97">
        <v>2</v>
      </c>
      <c r="AL97">
        <v>22</v>
      </c>
      <c r="AM97">
        <v>2</v>
      </c>
      <c r="AN97" t="s">
        <v>140</v>
      </c>
      <c r="AO97" t="b">
        <v>0</v>
      </c>
      <c r="AP97" t="s">
        <v>140</v>
      </c>
      <c r="AQ97">
        <v>2</v>
      </c>
      <c r="AR97">
        <v>1</v>
      </c>
      <c r="AS97">
        <v>1.30754024286924</v>
      </c>
      <c r="AT97">
        <v>7</v>
      </c>
      <c r="AU97">
        <v>3.7853239712716502</v>
      </c>
      <c r="AV97">
        <v>2.00302197703079</v>
      </c>
      <c r="AW97">
        <v>3.1171444647120099</v>
      </c>
      <c r="AX97">
        <v>79</v>
      </c>
      <c r="AY97">
        <v>12</v>
      </c>
      <c r="AZ97">
        <v>4</v>
      </c>
      <c r="BA97">
        <v>0</v>
      </c>
      <c r="BB97">
        <v>0</v>
      </c>
      <c r="BC97">
        <v>2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2</v>
      </c>
      <c r="BJ97">
        <v>4</v>
      </c>
      <c r="BK97">
        <v>3.1171444647120099</v>
      </c>
      <c r="BL97">
        <v>79</v>
      </c>
      <c r="BM97">
        <v>12</v>
      </c>
      <c r="BN97">
        <v>3.6648778593531399</v>
      </c>
      <c r="BO97">
        <v>21534.9753476933</v>
      </c>
      <c r="BP97" t="s">
        <v>789</v>
      </c>
      <c r="BQ97" t="str">
        <f>SUBSTITUTE(SUBSTITUTE(SUBSTITUTE(SUBSTITUTE(SUBSTITUTE(SUBSTITUTE(SUBSTITUTE(I97,"[",""),"]",""),"'",""),"M1-LOD-KS","לוד-כפרסבא (מטרו)"),"M1-KS-LOD","כפר סבא-לוד (מטרו)"),"M1-RA-RE","רעננה-רחובות (מטרו)"),"M1-RE-RA","רחובות-רעננה (מטרו)")</f>
        <v>לוד-כפרסבא (מטרו), רצועת הנופש-צומת חולון (BRT), צומת חולון-רצועת הנופש (BRT), כפר סבא-לוד (מטרו)</v>
      </c>
      <c r="BR97">
        <f>IF($AP97="ארצי",COUNTIFS($AP$2:$AP$143,"ארצי",$BK$2:$BK$143,"&gt;"&amp;$BK97)+1,COUNTIFS($AP$2:$AP$143,$AP97,$L$2:$L$143,$L97,$BK$2:$BK$143,"&gt;"&amp;$BK97)+1)</f>
        <v>4</v>
      </c>
    </row>
    <row r="98" spans="1:70" x14ac:dyDescent="0.25">
      <c r="A98">
        <v>94</v>
      </c>
      <c r="B98">
        <v>34.886843407212702</v>
      </c>
      <c r="C98">
        <v>32.172811361340401</v>
      </c>
      <c r="D98" t="s">
        <v>597</v>
      </c>
      <c r="E98" t="s">
        <v>598</v>
      </c>
      <c r="F98" t="s">
        <v>599</v>
      </c>
      <c r="G98" t="s">
        <v>600</v>
      </c>
      <c r="H98" t="s">
        <v>601</v>
      </c>
      <c r="I98" t="s">
        <v>602</v>
      </c>
      <c r="J98" t="s">
        <v>74</v>
      </c>
      <c r="K98" t="s">
        <v>75</v>
      </c>
      <c r="L98" t="s">
        <v>75</v>
      </c>
      <c r="M98" t="s">
        <v>216</v>
      </c>
      <c r="N98" t="s">
        <v>132</v>
      </c>
      <c r="O98">
        <v>54720.83</v>
      </c>
      <c r="P98">
        <v>51552.53</v>
      </c>
      <c r="Q98">
        <v>0.94210065892640804</v>
      </c>
      <c r="R98">
        <v>1</v>
      </c>
      <c r="S98">
        <v>0</v>
      </c>
      <c r="T98">
        <v>0</v>
      </c>
      <c r="U98">
        <v>0</v>
      </c>
      <c r="V98">
        <v>0</v>
      </c>
      <c r="W98">
        <v>3</v>
      </c>
      <c r="X98">
        <v>0</v>
      </c>
      <c r="Y98">
        <v>4</v>
      </c>
      <c r="Z98">
        <v>5441.7972044579401</v>
      </c>
      <c r="AA98">
        <v>10462.263440860101</v>
      </c>
      <c r="AB98">
        <v>18989.139729485199</v>
      </c>
      <c r="AC98">
        <v>7662.6184235641804</v>
      </c>
      <c r="AD98">
        <v>14947.970211825999</v>
      </c>
      <c r="AE98">
        <v>8109.6139454677896</v>
      </c>
      <c r="AF98">
        <v>39378.907145769197</v>
      </c>
      <c r="AG98">
        <v>26234.495809892</v>
      </c>
      <c r="AH98">
        <v>0</v>
      </c>
      <c r="AI98">
        <v>2</v>
      </c>
      <c r="AJ98">
        <v>0</v>
      </c>
      <c r="AK98">
        <v>3</v>
      </c>
      <c r="AL98">
        <v>51.6</v>
      </c>
      <c r="AM98">
        <v>0</v>
      </c>
      <c r="AN98" t="s">
        <v>103</v>
      </c>
      <c r="AO98" t="b">
        <v>0</v>
      </c>
      <c r="AP98" t="s">
        <v>103</v>
      </c>
      <c r="AQ98">
        <v>0</v>
      </c>
      <c r="AR98">
        <v>1</v>
      </c>
      <c r="AS98">
        <v>2.0598700931940099</v>
      </c>
      <c r="AT98">
        <v>1</v>
      </c>
      <c r="AU98">
        <v>6.2178668025583201</v>
      </c>
      <c r="AV98">
        <v>2.3555495864622</v>
      </c>
      <c r="AW98">
        <v>2.7014565132317698</v>
      </c>
      <c r="AX98">
        <v>101</v>
      </c>
      <c r="AY98">
        <v>44</v>
      </c>
      <c r="AZ98">
        <v>8</v>
      </c>
      <c r="BA98">
        <v>0</v>
      </c>
      <c r="BB98">
        <v>2</v>
      </c>
      <c r="BC98">
        <v>2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4</v>
      </c>
      <c r="BJ98">
        <v>8</v>
      </c>
      <c r="BK98">
        <v>2.7014565132317698</v>
      </c>
      <c r="BL98">
        <v>101</v>
      </c>
      <c r="BM98">
        <v>44</v>
      </c>
      <c r="BN98">
        <v>4.7381526760966697</v>
      </c>
      <c r="BO98">
        <v>28863.3780770675</v>
      </c>
      <c r="BP98" t="s">
        <v>603</v>
      </c>
      <c r="BQ98" t="str">
        <f>SUBSTITUTE(SUBSTITUTE(SUBSTITUTE(SUBSTITUTE(SUBSTITUTE(SUBSTITUTE(SUBSTITUTE(I98,"[",""),"]",""),"'",""),"M1-LOD-KS","לוד-כפרסבא (מטרו)"),"M1-KS-LOD","כפר סבא-לוד (מטרו)"),"M1-RA-RE","רעננה-רחובות (מטרו)"),"M1-RE-RA","רחובות-רעננה (מטרו)")</f>
        <v>נתניה-כפ"ס דרך טייבה/קלאנסווה (BRT), כפ"ס-נתניה דרך טייבה/קלאנסווה (רק"ל), נתניה-אשדוד (רק"ל), אשדוד-נתניה (רק"ל), ראש העין-באר שבע (רכבת פרברית), באר שבע-מודיעין (רכבת פרברית), מודיעין-באר שבע (רכבת פרברית), באר שבע-ראש העין (רכבת פרברית)</v>
      </c>
      <c r="BR98">
        <f>IF($AP98="ארצי",COUNTIFS($AP$2:$AP$143,"ארצי",$BK$2:$BK$143,"&gt;"&amp;$BK98)+1,COUNTIFS($AP$2:$AP$143,$AP98,$L$2:$L$143,$L98,$BK$2:$BK$143,"&gt;"&amp;$BK98)+1)</f>
        <v>29</v>
      </c>
    </row>
    <row r="99" spans="1:70" x14ac:dyDescent="0.25">
      <c r="A99">
        <v>14</v>
      </c>
      <c r="B99">
        <v>35.033777861203497</v>
      </c>
      <c r="C99">
        <v>32.471721227462801</v>
      </c>
      <c r="D99" t="s">
        <v>604</v>
      </c>
      <c r="E99" t="s">
        <v>605</v>
      </c>
      <c r="F99" t="s">
        <v>348</v>
      </c>
      <c r="G99" t="s">
        <v>349</v>
      </c>
      <c r="H99" t="s">
        <v>606</v>
      </c>
      <c r="I99" t="s">
        <v>607</v>
      </c>
      <c r="J99" t="s">
        <v>74</v>
      </c>
      <c r="K99" t="s">
        <v>94</v>
      </c>
      <c r="L99" t="s">
        <v>94</v>
      </c>
      <c r="M99" t="s">
        <v>352</v>
      </c>
      <c r="N99" t="s">
        <v>278</v>
      </c>
      <c r="O99">
        <v>47764.797955499998</v>
      </c>
      <c r="P99">
        <v>7532.6143579999998</v>
      </c>
      <c r="Q99">
        <v>0.15770221335423101</v>
      </c>
      <c r="R99">
        <v>2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2</v>
      </c>
      <c r="Z99">
        <v>725.91983723728094</v>
      </c>
      <c r="AA99">
        <v>209.44808448681499</v>
      </c>
      <c r="AB99">
        <v>3737.9241307202201</v>
      </c>
      <c r="AC99">
        <v>850.55000831469397</v>
      </c>
      <c r="AD99">
        <v>2676.4447238061898</v>
      </c>
      <c r="AE99">
        <v>616.33296574818098</v>
      </c>
      <c r="AF99">
        <v>7140.2886917636997</v>
      </c>
      <c r="AG99">
        <v>1676.3310585496899</v>
      </c>
      <c r="AH99">
        <v>1</v>
      </c>
      <c r="AI99">
        <v>1</v>
      </c>
      <c r="AJ99">
        <v>1</v>
      </c>
      <c r="AK99">
        <v>2</v>
      </c>
      <c r="AL99">
        <v>22</v>
      </c>
      <c r="AM99">
        <v>0</v>
      </c>
      <c r="AN99" t="s">
        <v>103</v>
      </c>
      <c r="AO99" t="b">
        <v>0</v>
      </c>
      <c r="AP99" t="s">
        <v>103</v>
      </c>
      <c r="AQ99">
        <v>0</v>
      </c>
      <c r="AR99">
        <v>4</v>
      </c>
      <c r="AS99">
        <v>1.30754024286924</v>
      </c>
      <c r="AT99">
        <v>1</v>
      </c>
      <c r="AU99">
        <v>5.9181383505735896</v>
      </c>
      <c r="AV99">
        <v>1.1003039554365699</v>
      </c>
      <c r="AW99">
        <v>2.6571133957194801</v>
      </c>
      <c r="AX99">
        <v>102</v>
      </c>
      <c r="AY99">
        <v>45</v>
      </c>
      <c r="AZ99">
        <v>4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4</v>
      </c>
      <c r="BK99">
        <v>2.6571133957194801</v>
      </c>
      <c r="BL99">
        <v>102</v>
      </c>
      <c r="BM99">
        <v>45</v>
      </c>
      <c r="BN99">
        <v>4.6791079450254101</v>
      </c>
      <c r="BO99">
        <v>2769.1225851924901</v>
      </c>
      <c r="BP99" t="s">
        <v>608</v>
      </c>
      <c r="BQ99" t="str">
        <f>SUBSTITUTE(SUBSTITUTE(SUBSTITUTE(SUBSTITUTE(SUBSTITUTE(SUBSTITUTE(SUBSTITUTE(I99,"[",""),"]",""),"'",""),"M1-LOD-KS","לוד-כפרסבא (מטרו)"),"M1-KS-LOD","כפר סבא-לוד (מטרו)"),"M1-RA-RE","רעננה-רחובות (מטרו)"),"M1-RE-RA","רחובות-רעננה (מטרו)")</f>
        <v>באקה אל גרבייה-חדרה (BRT), חדרה-באקה אל גרבייה (BRT), ירושלים-חריש (רכבת פרברית), חריש-ירושלים (רכבת פרברית)</v>
      </c>
      <c r="BR99">
        <f>IF($AP99="ארצי",COUNTIFS($AP$2:$AP$143,"ארצי",$BK$2:$BK$143,"&gt;"&amp;$BK99)+1,COUNTIFS($AP$2:$AP$143,$AP99,$L$2:$L$143,$L99,$BK$2:$BK$143,"&gt;"&amp;$BK99)+1)</f>
        <v>7</v>
      </c>
    </row>
    <row r="100" spans="1:70" x14ac:dyDescent="0.25">
      <c r="A100">
        <v>378</v>
      </c>
      <c r="B100">
        <v>34.823032821535698</v>
      </c>
      <c r="C100">
        <v>31.961641173665701</v>
      </c>
      <c r="D100" t="s">
        <v>609</v>
      </c>
      <c r="E100" t="s">
        <v>610</v>
      </c>
      <c r="F100" t="s">
        <v>127</v>
      </c>
      <c r="G100" t="s">
        <v>128</v>
      </c>
      <c r="H100" t="s">
        <v>581</v>
      </c>
      <c r="I100" t="s">
        <v>582</v>
      </c>
      <c r="J100" t="s">
        <v>74</v>
      </c>
      <c r="K100" t="s">
        <v>75</v>
      </c>
      <c r="L100" t="s">
        <v>75</v>
      </c>
      <c r="M100" t="s">
        <v>216</v>
      </c>
      <c r="N100" t="s">
        <v>132</v>
      </c>
      <c r="O100">
        <v>11253.73</v>
      </c>
      <c r="P100">
        <v>1932.89</v>
      </c>
      <c r="Q100">
        <v>0.1717554979549</v>
      </c>
      <c r="R100">
        <v>3</v>
      </c>
      <c r="S100">
        <v>0</v>
      </c>
      <c r="T100">
        <v>0</v>
      </c>
      <c r="U100">
        <v>0</v>
      </c>
      <c r="V100">
        <v>0</v>
      </c>
      <c r="W100">
        <v>3</v>
      </c>
      <c r="X100">
        <v>0</v>
      </c>
      <c r="Y100">
        <v>0</v>
      </c>
      <c r="Z100">
        <v>11538.0992600433</v>
      </c>
      <c r="AA100">
        <v>2477.8441151145498</v>
      </c>
      <c r="AB100">
        <v>25870.6810146444</v>
      </c>
      <c r="AC100">
        <v>8536.1913444763995</v>
      </c>
      <c r="AD100">
        <v>17043.4501866137</v>
      </c>
      <c r="AE100">
        <v>4931.9289495614603</v>
      </c>
      <c r="AF100">
        <v>54452.2304613015</v>
      </c>
      <c r="AG100">
        <v>15945.964409152401</v>
      </c>
      <c r="AH100">
        <v>0</v>
      </c>
      <c r="AI100">
        <v>2</v>
      </c>
      <c r="AJ100">
        <v>0</v>
      </c>
      <c r="AK100">
        <v>2</v>
      </c>
      <c r="AL100">
        <v>29.7</v>
      </c>
      <c r="AM100">
        <v>0</v>
      </c>
      <c r="AN100" t="s">
        <v>140</v>
      </c>
      <c r="AO100" t="b">
        <v>0</v>
      </c>
      <c r="AP100" t="s">
        <v>140</v>
      </c>
      <c r="AQ100">
        <v>0</v>
      </c>
      <c r="AR100">
        <v>1</v>
      </c>
      <c r="AS100">
        <v>1.50324767014967</v>
      </c>
      <c r="AT100">
        <v>1</v>
      </c>
      <c r="AU100">
        <v>5.6795713368944103</v>
      </c>
      <c r="AV100">
        <v>3.2160198428159998</v>
      </c>
      <c r="AW100">
        <v>2.6462052610514899</v>
      </c>
      <c r="AX100">
        <v>103</v>
      </c>
      <c r="AY100">
        <v>22</v>
      </c>
      <c r="AZ100">
        <v>6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6</v>
      </c>
      <c r="BG100">
        <v>0</v>
      </c>
      <c r="BH100">
        <v>0</v>
      </c>
      <c r="BI100">
        <v>6</v>
      </c>
      <c r="BJ100">
        <v>6</v>
      </c>
      <c r="BK100">
        <v>2.6462052610514899</v>
      </c>
      <c r="BL100">
        <v>103</v>
      </c>
      <c r="BM100">
        <v>22</v>
      </c>
      <c r="BN100">
        <v>4.0512964913300804</v>
      </c>
      <c r="BO100">
        <v>46750.9772508717</v>
      </c>
      <c r="BP100" t="s">
        <v>611</v>
      </c>
      <c r="BQ100" t="str">
        <f>SUBSTITUTE(SUBSTITUTE(SUBSTITUTE(SUBSTITUTE(SUBSTITUTE(SUBSTITUTE(SUBSTITUTE(I100,"[",""),"]",""),"'",""),"M1-LOD-KS","לוד-כפרסבא (מטרו)"),"M1-KS-LOD","כפר סבא-לוד (מטרו)"),"M1-RA-RE","רעננה-רחובות (מטרו)"),"M1-RE-RA","רחובות-רעננה (מטרו)")</f>
        <v>אסף הרופא-חוף ראשל"צ (רק"ל), אסף הרופא-מתחם ה-1000 (רק"ל), תחנה מרכזית ראשל"צ-לוד (BRT), לוד-תחנה מרכזית ראשל"צ (BRT), מתחם ה-1000-אסף הרופא (רק"ל), חוף ראשל"צ-אסף הרופא (רק"ל)</v>
      </c>
      <c r="BR100">
        <f>IF($AP100="ארצי",COUNTIFS($AP$2:$AP$143,"ארצי",$BK$2:$BK$143,"&gt;"&amp;$BK100)+1,COUNTIFS($AP$2:$AP$143,$AP100,$L$2:$L$143,$L100,$BK$2:$BK$143,"&gt;"&amp;$BK100)+1)</f>
        <v>9</v>
      </c>
    </row>
    <row r="101" spans="1:70" x14ac:dyDescent="0.25">
      <c r="A101">
        <v>327</v>
      </c>
      <c r="B101">
        <v>34.876557284896698</v>
      </c>
      <c r="C101">
        <v>31.927882152830499</v>
      </c>
      <c r="D101" t="s">
        <v>612</v>
      </c>
      <c r="E101" t="s">
        <v>613</v>
      </c>
      <c r="F101" t="s">
        <v>614</v>
      </c>
      <c r="G101" t="s">
        <v>615</v>
      </c>
      <c r="H101" t="s">
        <v>616</v>
      </c>
      <c r="I101" t="s">
        <v>617</v>
      </c>
      <c r="J101" t="s">
        <v>74</v>
      </c>
      <c r="K101" t="s">
        <v>75</v>
      </c>
      <c r="L101" t="s">
        <v>75</v>
      </c>
      <c r="M101" t="s">
        <v>216</v>
      </c>
      <c r="N101" t="s">
        <v>132</v>
      </c>
      <c r="O101">
        <v>58012.539999999899</v>
      </c>
      <c r="P101">
        <v>43312.05</v>
      </c>
      <c r="Q101">
        <v>0.74659806310842403</v>
      </c>
      <c r="R101">
        <v>2.8</v>
      </c>
      <c r="S101">
        <v>0</v>
      </c>
      <c r="T101">
        <v>0</v>
      </c>
      <c r="U101">
        <v>0</v>
      </c>
      <c r="V101">
        <v>2.8</v>
      </c>
      <c r="W101">
        <v>2.8</v>
      </c>
      <c r="X101">
        <v>2.8</v>
      </c>
      <c r="Y101">
        <v>2.8</v>
      </c>
      <c r="Z101">
        <v>7898.1916754637396</v>
      </c>
      <c r="AA101">
        <v>4261.2832529298603</v>
      </c>
      <c r="AB101">
        <v>13463.511930368701</v>
      </c>
      <c r="AC101">
        <v>7012.4707334650802</v>
      </c>
      <c r="AD101">
        <v>9292.3735538274104</v>
      </c>
      <c r="AE101">
        <v>3830.0929312910498</v>
      </c>
      <c r="AF101">
        <v>30654.077159659799</v>
      </c>
      <c r="AG101">
        <v>15103.8469176859</v>
      </c>
      <c r="AH101">
        <v>0</v>
      </c>
      <c r="AI101">
        <v>2</v>
      </c>
      <c r="AJ101">
        <v>0</v>
      </c>
      <c r="AK101">
        <v>5</v>
      </c>
      <c r="AL101">
        <v>109.759999999999</v>
      </c>
      <c r="AM101">
        <v>2</v>
      </c>
      <c r="AN101" t="s">
        <v>78</v>
      </c>
      <c r="AO101" t="b">
        <v>0</v>
      </c>
      <c r="AP101" t="s">
        <v>78</v>
      </c>
      <c r="AQ101">
        <v>2</v>
      </c>
      <c r="AR101">
        <v>1</v>
      </c>
      <c r="AS101">
        <v>3.5380965828861801</v>
      </c>
      <c r="AT101">
        <v>7</v>
      </c>
      <c r="AU101">
        <v>1</v>
      </c>
      <c r="AV101">
        <v>1.84326366734867</v>
      </c>
      <c r="AW101">
        <v>2.6328970223605199</v>
      </c>
      <c r="AX101">
        <v>104</v>
      </c>
      <c r="AY101">
        <v>15</v>
      </c>
      <c r="AZ101">
        <v>14</v>
      </c>
      <c r="BA101">
        <v>0</v>
      </c>
      <c r="BB101">
        <v>0</v>
      </c>
      <c r="BC101">
        <v>2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2</v>
      </c>
      <c r="BJ101">
        <v>14</v>
      </c>
      <c r="BK101">
        <v>2.6328970223605199</v>
      </c>
      <c r="BL101">
        <v>104</v>
      </c>
      <c r="BM101">
        <v>15</v>
      </c>
      <c r="BN101">
        <v>4.7635218808758797</v>
      </c>
      <c r="BO101">
        <v>18213.892966080701</v>
      </c>
      <c r="BP101" t="s">
        <v>618</v>
      </c>
      <c r="BQ101" t="str">
        <f>SUBSTITUTE(SUBSTITUTE(SUBSTITUTE(SUBSTITUTE(SUBSTITUTE(SUBSTITUTE(SUBSTITUTE(I101,"[",""),"]",""),"'",""),"M1-LOD-KS","לוד-כפרסבא (מטרו)"),"M1-KS-LOD","כפר סבא-לוד (מטרו)"),"M1-RA-RE","רעננה-רחובות (מטרו)"),"M1-RE-RA","רחובות-רעננה (מטרו)")</f>
        <v>באר שבע-עכו (רכבת בינעירונית), רצועת הנופש-צומת חולון (BRT), צומת חולון-רצועת הנופש (BRT), עכו-באר שבע (רכבת בינעירונית), לוד-כפרסבא (מטרו), הרצליה-בית שמש (רכבת פרברית), בית שמש-הרצליה (רכבת פרברית), צומת רעננה-צומת בילו (רק"ל), צומת בילו-צומת רעננה (רק"ל), באר שבע-ראש העין (רכבת פרברית), נהריה-באר שבע (רכבת בינעירונית), ראש העין-באר שבע (רכבת פרברית), כפר סבא-לוד (מטרו), באר שבע-נהריה (רכבת בינעירונית)</v>
      </c>
      <c r="BR101">
        <f>IF($AP101="ארצי",COUNTIFS($AP$2:$AP$143,"ארצי",$BK$2:$BK$143,"&gt;"&amp;$BK101)+1,COUNTIFS($AP$2:$AP$143,$AP101,$L$2:$L$143,$L101,$BK$2:$BK$143,"&gt;"&amp;$BK101)+1)</f>
        <v>14</v>
      </c>
    </row>
    <row r="102" spans="1:70" x14ac:dyDescent="0.25">
      <c r="A102">
        <v>631</v>
      </c>
      <c r="B102">
        <v>34.774727429014803</v>
      </c>
      <c r="C102">
        <v>32.013489389541597</v>
      </c>
      <c r="D102" t="s">
        <v>619</v>
      </c>
      <c r="E102" t="s">
        <v>620</v>
      </c>
      <c r="F102" t="s">
        <v>202</v>
      </c>
      <c r="G102" t="s">
        <v>203</v>
      </c>
      <c r="H102" t="s">
        <v>621</v>
      </c>
      <c r="I102" t="s">
        <v>622</v>
      </c>
      <c r="J102" t="s">
        <v>74</v>
      </c>
      <c r="K102" t="s">
        <v>75</v>
      </c>
      <c r="L102" t="s">
        <v>75</v>
      </c>
      <c r="M102" t="s">
        <v>139</v>
      </c>
      <c r="N102" t="s">
        <v>132</v>
      </c>
      <c r="O102">
        <v>53262.66</v>
      </c>
      <c r="P102">
        <v>37304.14</v>
      </c>
      <c r="Q102">
        <v>0.70038071699761095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4</v>
      </c>
      <c r="X102">
        <v>2</v>
      </c>
      <c r="Y102">
        <v>0</v>
      </c>
      <c r="Z102">
        <v>27698.824024131201</v>
      </c>
      <c r="AA102">
        <v>7923.4452088378903</v>
      </c>
      <c r="AB102">
        <v>48615.026448524499</v>
      </c>
      <c r="AC102">
        <v>11499.5714697199</v>
      </c>
      <c r="AD102">
        <v>30033.478596840599</v>
      </c>
      <c r="AE102">
        <v>6525.8122951754804</v>
      </c>
      <c r="AF102">
        <v>106347.329069496</v>
      </c>
      <c r="AG102">
        <v>25948.8289737333</v>
      </c>
      <c r="AH102">
        <v>0</v>
      </c>
      <c r="AI102">
        <v>2</v>
      </c>
      <c r="AJ102">
        <v>0</v>
      </c>
      <c r="AK102">
        <v>2</v>
      </c>
      <c r="AL102">
        <v>35.200000000000003</v>
      </c>
      <c r="AM102">
        <v>0</v>
      </c>
      <c r="AN102" t="s">
        <v>103</v>
      </c>
      <c r="AO102" t="b">
        <v>0</v>
      </c>
      <c r="AP102" t="s">
        <v>103</v>
      </c>
      <c r="AQ102">
        <v>0</v>
      </c>
      <c r="AR102">
        <v>1</v>
      </c>
      <c r="AS102">
        <v>1.6430386896356901</v>
      </c>
      <c r="AT102">
        <v>1</v>
      </c>
      <c r="AU102">
        <v>6.1583227584428197</v>
      </c>
      <c r="AV102">
        <v>2.9888498227544198</v>
      </c>
      <c r="AW102">
        <v>2.6300833586941699</v>
      </c>
      <c r="AX102">
        <v>105</v>
      </c>
      <c r="AY102">
        <v>46</v>
      </c>
      <c r="AZ102">
        <v>6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2</v>
      </c>
      <c r="BG102">
        <v>4</v>
      </c>
      <c r="BH102">
        <v>0</v>
      </c>
      <c r="BI102">
        <v>6</v>
      </c>
      <c r="BJ102">
        <v>6</v>
      </c>
      <c r="BK102">
        <v>2.6300833586941699</v>
      </c>
      <c r="BL102">
        <v>105</v>
      </c>
      <c r="BM102">
        <v>46</v>
      </c>
      <c r="BN102">
        <v>4.7264228518226803</v>
      </c>
      <c r="BO102">
        <v>42028.528992885898</v>
      </c>
      <c r="BP102" t="s">
        <v>623</v>
      </c>
      <c r="BQ102" t="str">
        <f>SUBSTITUTE(SUBSTITUTE(SUBSTITUTE(SUBSTITUTE(SUBSTITUTE(SUBSTITUTE(SUBSTITUTE(I102,"[",""),"]",""),"'",""),"M1-LOD-KS","לוד-כפרסבא (מטרו)"),"M1-KS-LOD","כפר סבא-לוד (מטרו)"),"M1-RA-RE","רעננה-רחובות (מטרו)"),"M1-RE-RA","רחובות-רעננה (מטרו)")</f>
        <v>חולון-אונ\ ת"א (רק"ל), עתידים-ראשל"צ (רק"ל), ראשל"צ-עתידים (רק"ל), אונ\ ת"א-חולון (רק"ל), הרצליה-בת ים (מטרו), בת ים-הרצליה (מטרו)</v>
      </c>
      <c r="BR102">
        <f>IF($AP102="ארצי",COUNTIFS($AP$2:$AP$143,"ארצי",$BK$2:$BK$143,"&gt;"&amp;$BK102)+1,COUNTIFS($AP$2:$AP$143,$AP102,$L$2:$L$143,$L102,$BK$2:$BK$143,"&gt;"&amp;$BK102)+1)</f>
        <v>30</v>
      </c>
    </row>
    <row r="103" spans="1:70" x14ac:dyDescent="0.25">
      <c r="A103">
        <v>325</v>
      </c>
      <c r="B103">
        <v>34.886606217865697</v>
      </c>
      <c r="C103">
        <v>31.938277043926501</v>
      </c>
      <c r="D103" t="s">
        <v>630</v>
      </c>
      <c r="E103" t="s">
        <v>624</v>
      </c>
      <c r="F103" t="s">
        <v>625</v>
      </c>
      <c r="G103" t="s">
        <v>626</v>
      </c>
      <c r="H103" t="s">
        <v>627</v>
      </c>
      <c r="I103" t="s">
        <v>628</v>
      </c>
      <c r="J103" t="s">
        <v>74</v>
      </c>
      <c r="K103" t="s">
        <v>75</v>
      </c>
      <c r="L103" t="s">
        <v>75</v>
      </c>
      <c r="M103" t="s">
        <v>216</v>
      </c>
      <c r="N103" t="s">
        <v>132</v>
      </c>
      <c r="O103">
        <v>22876.73</v>
      </c>
      <c r="P103">
        <v>2537.3000141000002</v>
      </c>
      <c r="Q103">
        <v>0.110911831109603</v>
      </c>
      <c r="R103">
        <v>10.6666666666666</v>
      </c>
      <c r="S103">
        <v>0</v>
      </c>
      <c r="T103">
        <v>0</v>
      </c>
      <c r="U103">
        <v>0</v>
      </c>
      <c r="V103">
        <v>0</v>
      </c>
      <c r="W103">
        <v>2.6666666666666599</v>
      </c>
      <c r="X103">
        <v>2.6666666666666599</v>
      </c>
      <c r="Y103">
        <v>0</v>
      </c>
      <c r="Z103">
        <v>8701.1872099501597</v>
      </c>
      <c r="AA103">
        <v>6118.7864330988996</v>
      </c>
      <c r="AB103">
        <v>15118.854097809201</v>
      </c>
      <c r="AC103">
        <v>7394.9266312421996</v>
      </c>
      <c r="AD103">
        <v>9978.0181633446591</v>
      </c>
      <c r="AE103">
        <v>3687.7427475382301</v>
      </c>
      <c r="AF103">
        <v>33798.059471104098</v>
      </c>
      <c r="AG103">
        <v>17201.455811879299</v>
      </c>
      <c r="AH103">
        <v>0</v>
      </c>
      <c r="AI103">
        <v>2</v>
      </c>
      <c r="AJ103">
        <v>0</v>
      </c>
      <c r="AK103">
        <v>3</v>
      </c>
      <c r="AL103">
        <v>86.399999999999906</v>
      </c>
      <c r="AM103">
        <v>0</v>
      </c>
      <c r="AN103" t="s">
        <v>103</v>
      </c>
      <c r="AO103" t="b">
        <v>0</v>
      </c>
      <c r="AP103" t="s">
        <v>103</v>
      </c>
      <c r="AQ103">
        <v>0</v>
      </c>
      <c r="AR103">
        <v>1</v>
      </c>
      <c r="AS103">
        <v>2.9443659983055599</v>
      </c>
      <c r="AT103">
        <v>1</v>
      </c>
      <c r="AU103">
        <v>4.2951758928359496</v>
      </c>
      <c r="AV103">
        <v>1.95423466374377</v>
      </c>
      <c r="AW103">
        <v>2.58320653593842</v>
      </c>
      <c r="AX103">
        <v>106</v>
      </c>
      <c r="AY103">
        <v>47</v>
      </c>
      <c r="AZ103">
        <v>15.999999999999901</v>
      </c>
      <c r="BA103">
        <v>0</v>
      </c>
      <c r="BB103">
        <v>0</v>
      </c>
      <c r="BC103">
        <v>2</v>
      </c>
      <c r="BD103">
        <v>0</v>
      </c>
      <c r="BE103">
        <v>0</v>
      </c>
      <c r="BF103">
        <v>4</v>
      </c>
      <c r="BG103">
        <v>0</v>
      </c>
      <c r="BH103">
        <v>0</v>
      </c>
      <c r="BI103">
        <v>6</v>
      </c>
      <c r="BJ103">
        <v>16</v>
      </c>
      <c r="BK103">
        <v>2.58320653593842</v>
      </c>
      <c r="BL103">
        <v>106</v>
      </c>
      <c r="BM103">
        <v>47</v>
      </c>
      <c r="BN103">
        <v>4.3593939464999796</v>
      </c>
      <c r="BO103">
        <v>20520.7765437243</v>
      </c>
      <c r="BP103" t="s">
        <v>629</v>
      </c>
      <c r="BQ103" t="str">
        <f>SUBSTITUTE(SUBSTITUTE(SUBSTITUTE(SUBSTITUTE(SUBSTITUTE(SUBSTITUTE(SUBSTITUTE(I103,"[",""),"]",""),"'",""),"M1-LOD-KS","לוד-כפרסבא (מטרו)"),"M1-KS-LOD","כפר סבא-לוד (מטרו)"),"M1-RA-RE","רעננה-רחובות (מטרו)"),"M1-RE-RA","רחובות-רעננה (מטרו)")</f>
        <v>רצועת הנופש-צומת חולון (BRT), לוד-כפרסבא (מטרו), צומת חולון-רצועת הנופש (BRT), צומת רעננה-צומת בילו (רק"ל), צומת בילו-צומת רעננה (רק"ל), כפר סבא-לוד (מטרו), אסף הרופא-אירפורט סיטי (BRT), תחנה מרכזית ראשל"צ-לוד (BRT), לוד-תחנה מרכזית ראשל"צ (BRT), אירפורא סיטי-אסף הרופא (BRT)</v>
      </c>
      <c r="BR103">
        <f>IF($AP103="ארצי",COUNTIFS($AP$2:$AP$143,"ארצי",$BK$2:$BK$143,"&gt;"&amp;$BK103)+1,COUNTIFS($AP$2:$AP$143,$AP103,$L$2:$L$143,$L103,$BK$2:$BK$143,"&gt;"&amp;$BK103)+1)</f>
        <v>31</v>
      </c>
    </row>
    <row r="104" spans="1:70" x14ac:dyDescent="0.25">
      <c r="A104">
        <v>587</v>
      </c>
      <c r="B104">
        <v>34.814485491645797</v>
      </c>
      <c r="C104">
        <v>32.106094089707199</v>
      </c>
      <c r="D104" t="s">
        <v>631</v>
      </c>
      <c r="E104" t="s">
        <v>632</v>
      </c>
      <c r="F104" t="s">
        <v>232</v>
      </c>
      <c r="G104" t="s">
        <v>233</v>
      </c>
      <c r="H104" t="s">
        <v>633</v>
      </c>
      <c r="I104" t="s">
        <v>634</v>
      </c>
      <c r="J104" t="s">
        <v>74</v>
      </c>
      <c r="K104" t="s">
        <v>75</v>
      </c>
      <c r="L104" t="s">
        <v>75</v>
      </c>
      <c r="M104" t="s">
        <v>76</v>
      </c>
      <c r="N104" t="s">
        <v>77</v>
      </c>
      <c r="O104">
        <v>26427.17</v>
      </c>
      <c r="P104">
        <v>20709.05</v>
      </c>
      <c r="Q104">
        <v>0.78362722909793203</v>
      </c>
      <c r="R104">
        <v>2</v>
      </c>
      <c r="S104">
        <v>0</v>
      </c>
      <c r="T104">
        <v>0</v>
      </c>
      <c r="U104">
        <v>0</v>
      </c>
      <c r="V104">
        <v>0</v>
      </c>
      <c r="W104">
        <v>3</v>
      </c>
      <c r="X104">
        <v>0</v>
      </c>
      <c r="Y104">
        <v>0</v>
      </c>
      <c r="Z104">
        <v>4000.5975457270602</v>
      </c>
      <c r="AA104">
        <v>2937.6996057122401</v>
      </c>
      <c r="AB104">
        <v>8669.3683122123293</v>
      </c>
      <c r="AC104">
        <v>11755.7291883748</v>
      </c>
      <c r="AD104">
        <v>6864.53066575711</v>
      </c>
      <c r="AE104">
        <v>10598.2647012943</v>
      </c>
      <c r="AF104">
        <v>19534.4965236965</v>
      </c>
      <c r="AG104">
        <v>25291.693495381402</v>
      </c>
      <c r="AH104">
        <v>0</v>
      </c>
      <c r="AI104">
        <v>3</v>
      </c>
      <c r="AJ104">
        <v>0</v>
      </c>
      <c r="AK104">
        <v>2</v>
      </c>
      <c r="AL104">
        <v>25.3</v>
      </c>
      <c r="AM104">
        <v>0</v>
      </c>
      <c r="AN104" t="s">
        <v>140</v>
      </c>
      <c r="AO104" t="b">
        <v>0</v>
      </c>
      <c r="AP104" t="s">
        <v>140</v>
      </c>
      <c r="AQ104">
        <v>0</v>
      </c>
      <c r="AR104">
        <v>1</v>
      </c>
      <c r="AS104">
        <v>1.39141485456085</v>
      </c>
      <c r="AT104">
        <v>1</v>
      </c>
      <c r="AU104">
        <v>7.4970305539492399</v>
      </c>
      <c r="AV104">
        <v>1.9621795381660001</v>
      </c>
      <c r="AW104">
        <v>2.57844512642954</v>
      </c>
      <c r="AX104">
        <v>107</v>
      </c>
      <c r="AY104">
        <v>23</v>
      </c>
      <c r="AZ104">
        <v>5</v>
      </c>
      <c r="BA104">
        <v>0</v>
      </c>
      <c r="BB104">
        <v>0</v>
      </c>
      <c r="BC104">
        <v>2</v>
      </c>
      <c r="BD104">
        <v>0</v>
      </c>
      <c r="BE104">
        <v>0</v>
      </c>
      <c r="BF104">
        <v>0</v>
      </c>
      <c r="BG104">
        <v>3</v>
      </c>
      <c r="BH104">
        <v>0</v>
      </c>
      <c r="BI104">
        <v>5</v>
      </c>
      <c r="BJ104">
        <v>5</v>
      </c>
      <c r="BK104">
        <v>2.57844512642954</v>
      </c>
      <c r="BL104">
        <v>107</v>
      </c>
      <c r="BM104">
        <v>23</v>
      </c>
      <c r="BN104">
        <v>4.4220506584329096</v>
      </c>
      <c r="BO104">
        <v>20685.9359180334</v>
      </c>
      <c r="BP104" t="s">
        <v>635</v>
      </c>
      <c r="BQ104" t="str">
        <f>SUBSTITUTE(SUBSTITUTE(SUBSTITUTE(SUBSTITUTE(SUBSTITUTE(SUBSTITUTE(SUBSTITUTE(I104,"[",""),"]",""),"'",""),"M1-LOD-KS","לוד-כפרסבא (מטרו)"),"M1-KS-LOD","כפר סבא-לוד (מטרו)"),"M1-RA-RE","רעננה-רחובות (מטרו)"),"M1-RE-RA","רחובות-רעננה (מטרו)")</f>
        <v>עתידים-ראשל"צ (רק"ל), ראשל"צ-עתידים (רק"ל), אונ\ ת"א-חולון (רק"ל), רצועת הנופש-צומת חולון (BRT), צומת חולון-רצועת הנופש (BRT)</v>
      </c>
      <c r="BR104">
        <f>IF($AP104="ארצי",COUNTIFS($AP$2:$AP$143,"ארצי",$BK$2:$BK$143,"&gt;"&amp;$BK104)+1,COUNTIFS($AP$2:$AP$143,$AP104,$L$2:$L$143,$L104,$BK$2:$BK$143,"&gt;"&amp;$BK104)+1)</f>
        <v>10</v>
      </c>
    </row>
    <row r="105" spans="1:70" x14ac:dyDescent="0.25">
      <c r="A105">
        <v>313</v>
      </c>
      <c r="B105">
        <v>34.897738211874497</v>
      </c>
      <c r="C105">
        <v>31.958724417568</v>
      </c>
      <c r="D105" t="s">
        <v>636</v>
      </c>
      <c r="E105" t="s">
        <v>637</v>
      </c>
      <c r="F105" t="s">
        <v>638</v>
      </c>
      <c r="G105" t="s">
        <v>639</v>
      </c>
      <c r="H105" t="s">
        <v>640</v>
      </c>
      <c r="I105" t="s">
        <v>641</v>
      </c>
      <c r="J105" t="s">
        <v>74</v>
      </c>
      <c r="K105" t="s">
        <v>75</v>
      </c>
      <c r="L105" t="s">
        <v>75</v>
      </c>
      <c r="M105" t="s">
        <v>216</v>
      </c>
      <c r="N105" t="s">
        <v>132</v>
      </c>
      <c r="O105">
        <v>29674.84</v>
      </c>
      <c r="P105">
        <v>15638.839</v>
      </c>
      <c r="Q105">
        <v>0.52700668310258703</v>
      </c>
      <c r="R105">
        <v>6</v>
      </c>
      <c r="S105">
        <v>0</v>
      </c>
      <c r="T105">
        <v>0</v>
      </c>
      <c r="U105">
        <v>0</v>
      </c>
      <c r="V105">
        <v>0</v>
      </c>
      <c r="W105">
        <v>2</v>
      </c>
      <c r="X105">
        <v>2</v>
      </c>
      <c r="Y105">
        <v>0</v>
      </c>
      <c r="Z105">
        <v>15043.728087382</v>
      </c>
      <c r="AA105">
        <v>10461.856445097799</v>
      </c>
      <c r="AB105">
        <v>21513.869063136</v>
      </c>
      <c r="AC105">
        <v>20894.191042611699</v>
      </c>
      <c r="AD105">
        <v>9781.1027802648605</v>
      </c>
      <c r="AE105">
        <v>7297.7573065798997</v>
      </c>
      <c r="AF105">
        <v>46338.699930782997</v>
      </c>
      <c r="AG105">
        <v>38653.804794289397</v>
      </c>
      <c r="AH105">
        <v>0</v>
      </c>
      <c r="AI105">
        <v>2</v>
      </c>
      <c r="AJ105">
        <v>0</v>
      </c>
      <c r="AK105">
        <v>3</v>
      </c>
      <c r="AL105">
        <v>55.2</v>
      </c>
      <c r="AM105">
        <v>0</v>
      </c>
      <c r="AN105" t="s">
        <v>103</v>
      </c>
      <c r="AO105" t="b">
        <v>0</v>
      </c>
      <c r="AP105" t="s">
        <v>103</v>
      </c>
      <c r="AQ105">
        <v>0</v>
      </c>
      <c r="AR105">
        <v>1</v>
      </c>
      <c r="AS105">
        <v>2.1513696695848599</v>
      </c>
      <c r="AT105">
        <v>1</v>
      </c>
      <c r="AU105">
        <v>4.8687689607432496</v>
      </c>
      <c r="AV105">
        <v>2.9004463962635501</v>
      </c>
      <c r="AW105">
        <v>2.5634409983308801</v>
      </c>
      <c r="AX105">
        <v>108</v>
      </c>
      <c r="AY105">
        <v>48</v>
      </c>
      <c r="AZ105">
        <v>10</v>
      </c>
      <c r="BA105">
        <v>0</v>
      </c>
      <c r="BB105">
        <v>0</v>
      </c>
      <c r="BC105">
        <v>2</v>
      </c>
      <c r="BD105">
        <v>0</v>
      </c>
      <c r="BE105">
        <v>0</v>
      </c>
      <c r="BF105">
        <v>4</v>
      </c>
      <c r="BG105">
        <v>0</v>
      </c>
      <c r="BH105">
        <v>0</v>
      </c>
      <c r="BI105">
        <v>6</v>
      </c>
      <c r="BJ105">
        <v>10</v>
      </c>
      <c r="BK105">
        <v>2.5634409983308801</v>
      </c>
      <c r="BL105">
        <v>108</v>
      </c>
      <c r="BM105">
        <v>48</v>
      </c>
      <c r="BN105">
        <v>4.4723883860156901</v>
      </c>
      <c r="BO105">
        <v>40190.7838215882</v>
      </c>
      <c r="BP105" t="s">
        <v>642</v>
      </c>
      <c r="BQ105" t="str">
        <f>SUBSTITUTE(SUBSTITUTE(SUBSTITUTE(SUBSTITUTE(SUBSTITUTE(SUBSTITUTE(SUBSTITUTE(I105,"[",""),"]",""),"'",""),"M1-LOD-KS","לוד-כפרסבא (מטרו)"),"M1-KS-LOD","כפר סבא-לוד (מטרו)"),"M1-RA-RE","רעננה-רחובות (מטרו)"),"M1-RE-RA","רחובות-רעננה (מטרו)")</f>
        <v>רצועת הנופש-צומת חולון (BRT), צומת חולון-רצועת הנופש (BRT), לוד-כפרסבא (מטרו), צומת בילו-צומת רעננה (רק"ל), צומת רעננה-צומת בילו (רק"ל), כפר סבא-לוד (מטרו), אסף הרופא-אירפורט סיטי (BRT), תחנה מרכזית ראשל"צ-לוד (BRT), לוד-תחנה מרכזית ראשל"צ (BRT), אירפורא סיטי-אסף הרופא (BRT)</v>
      </c>
      <c r="BR105">
        <f>IF($AP105="ארצי",COUNTIFS($AP$2:$AP$143,"ארצי",$BK$2:$BK$143,"&gt;"&amp;$BK105)+1,COUNTIFS($AP$2:$AP$143,$AP105,$L$2:$L$143,$L105,$BK$2:$BK$143,"&gt;"&amp;$BK105)+1)</f>
        <v>32</v>
      </c>
    </row>
    <row r="106" spans="1:70" x14ac:dyDescent="0.25">
      <c r="A106">
        <v>4</v>
      </c>
      <c r="B106">
        <v>34.992374788963197</v>
      </c>
      <c r="C106">
        <v>32.276514679206201</v>
      </c>
      <c r="D106" t="s">
        <v>643</v>
      </c>
      <c r="E106" t="s">
        <v>644</v>
      </c>
      <c r="F106" t="s">
        <v>127</v>
      </c>
      <c r="G106" t="s">
        <v>128</v>
      </c>
      <c r="H106" t="s">
        <v>144</v>
      </c>
      <c r="I106" t="s">
        <v>145</v>
      </c>
      <c r="J106" t="s">
        <v>74</v>
      </c>
      <c r="K106" t="s">
        <v>75</v>
      </c>
      <c r="L106" t="s">
        <v>75</v>
      </c>
      <c r="M106" t="s">
        <v>131</v>
      </c>
      <c r="N106" t="s">
        <v>132</v>
      </c>
      <c r="O106">
        <v>2929.26</v>
      </c>
      <c r="P106">
        <v>1617.85</v>
      </c>
      <c r="Q106">
        <v>0.55230672593078101</v>
      </c>
      <c r="R106">
        <v>1</v>
      </c>
      <c r="S106">
        <v>0</v>
      </c>
      <c r="T106">
        <v>0</v>
      </c>
      <c r="U106">
        <v>0</v>
      </c>
      <c r="V106">
        <v>0</v>
      </c>
      <c r="W106">
        <v>1</v>
      </c>
      <c r="X106">
        <v>0</v>
      </c>
      <c r="Y106">
        <v>0</v>
      </c>
      <c r="Z106">
        <v>802.59286785159998</v>
      </c>
      <c r="AA106">
        <v>258.63418979105899</v>
      </c>
      <c r="AB106">
        <v>6601.0371825415205</v>
      </c>
      <c r="AC106">
        <v>1634.05435256898</v>
      </c>
      <c r="AD106">
        <v>5546.95032308384</v>
      </c>
      <c r="AE106">
        <v>1490.3411454203999</v>
      </c>
      <c r="AF106">
        <v>12950.5803734769</v>
      </c>
      <c r="AG106">
        <v>3383.0296877804499</v>
      </c>
      <c r="AH106">
        <v>0</v>
      </c>
      <c r="AI106">
        <v>2</v>
      </c>
      <c r="AJ106">
        <v>0</v>
      </c>
      <c r="AK106">
        <v>2</v>
      </c>
      <c r="AL106">
        <v>9.9</v>
      </c>
      <c r="AM106">
        <v>0</v>
      </c>
      <c r="AN106" t="s">
        <v>133</v>
      </c>
      <c r="AO106" t="b">
        <v>0</v>
      </c>
      <c r="AP106" t="s">
        <v>133</v>
      </c>
      <c r="AQ106">
        <v>0</v>
      </c>
      <c r="AR106">
        <v>1</v>
      </c>
      <c r="AS106">
        <v>1</v>
      </c>
      <c r="AT106">
        <v>1</v>
      </c>
      <c r="AU106">
        <v>3.2570024724432201</v>
      </c>
      <c r="AV106">
        <v>1.22188356704628</v>
      </c>
      <c r="AW106">
        <v>2.5499830079000998</v>
      </c>
      <c r="AX106">
        <v>109</v>
      </c>
      <c r="AY106">
        <v>23</v>
      </c>
      <c r="AZ106">
        <v>2</v>
      </c>
      <c r="BA106">
        <v>0</v>
      </c>
      <c r="BB106">
        <v>0</v>
      </c>
      <c r="BC106">
        <v>2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2</v>
      </c>
      <c r="BJ106">
        <v>2</v>
      </c>
      <c r="BK106">
        <v>2.5499830079000998</v>
      </c>
      <c r="BL106">
        <v>109</v>
      </c>
      <c r="BM106">
        <v>23</v>
      </c>
      <c r="BN106">
        <v>3.4667579212049602</v>
      </c>
      <c r="BO106">
        <v>5296.5398249197497</v>
      </c>
      <c r="BP106" t="s">
        <v>645</v>
      </c>
      <c r="BQ106" t="str">
        <f>SUBSTITUTE(SUBSTITUTE(SUBSTITUTE(SUBSTITUTE(SUBSTITUTE(SUBSTITUTE(SUBSTITUTE(I106,"[",""),"]",""),"'",""),"M1-LOD-KS","לוד-כפרסבא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106">
        <f>IF($AP106="ארצי",COUNTIFS($AP$2:$AP$143,"ארצי",$BK$2:$BK$143,"&gt;"&amp;$BK106)+1,COUNTIFS($AP$2:$AP$143,$AP106,$L$2:$L$143,$L106,$BK$2:$BK$143,"&gt;"&amp;$BK106)+1)</f>
        <v>23</v>
      </c>
    </row>
    <row r="107" spans="1:70" x14ac:dyDescent="0.25">
      <c r="A107">
        <v>355</v>
      </c>
      <c r="B107">
        <v>34.822384565194298</v>
      </c>
      <c r="C107">
        <v>31.971844812079301</v>
      </c>
      <c r="D107" t="s">
        <v>776</v>
      </c>
      <c r="E107" t="s">
        <v>777</v>
      </c>
      <c r="F107" t="s">
        <v>313</v>
      </c>
      <c r="G107" t="s">
        <v>314</v>
      </c>
      <c r="H107" t="s">
        <v>479</v>
      </c>
      <c r="I107" t="s">
        <v>480</v>
      </c>
      <c r="J107" t="s">
        <v>74</v>
      </c>
      <c r="K107" t="s">
        <v>75</v>
      </c>
      <c r="L107" t="s">
        <v>75</v>
      </c>
      <c r="M107" t="s">
        <v>216</v>
      </c>
      <c r="N107" t="s">
        <v>132</v>
      </c>
      <c r="O107">
        <v>8097.49</v>
      </c>
      <c r="P107">
        <v>693.18</v>
      </c>
      <c r="Q107">
        <v>8.5604304543753604E-2</v>
      </c>
      <c r="R107">
        <v>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2</v>
      </c>
      <c r="Y107">
        <v>0</v>
      </c>
      <c r="Z107">
        <v>8895.8684674878295</v>
      </c>
      <c r="AA107">
        <v>3683.7527740133401</v>
      </c>
      <c r="AB107">
        <v>18865.067884250999</v>
      </c>
      <c r="AC107">
        <v>7535.7314346025896</v>
      </c>
      <c r="AD107">
        <v>11651.0941243538</v>
      </c>
      <c r="AE107">
        <v>5193.0274797270304</v>
      </c>
      <c r="AF107">
        <v>39412.030476092703</v>
      </c>
      <c r="AG107">
        <v>16412.5116883429</v>
      </c>
      <c r="AH107">
        <v>0</v>
      </c>
      <c r="AI107">
        <v>2</v>
      </c>
      <c r="AJ107">
        <v>0</v>
      </c>
      <c r="AK107">
        <v>2</v>
      </c>
      <c r="AL107">
        <v>22</v>
      </c>
      <c r="AM107">
        <v>0</v>
      </c>
      <c r="AN107" t="s">
        <v>103</v>
      </c>
      <c r="AO107" t="b">
        <v>0</v>
      </c>
      <c r="AP107" t="s">
        <v>103</v>
      </c>
      <c r="AQ107">
        <v>0</v>
      </c>
      <c r="AR107">
        <v>1</v>
      </c>
      <c r="AS107">
        <v>1.30754024286924</v>
      </c>
      <c r="AT107">
        <v>1</v>
      </c>
      <c r="AU107">
        <v>2.0055460576622899</v>
      </c>
      <c r="AV107">
        <v>1.9778846040220599</v>
      </c>
      <c r="AW107">
        <v>1.4377577192343201</v>
      </c>
      <c r="AX107">
        <v>145</v>
      </c>
      <c r="AY107">
        <v>69</v>
      </c>
      <c r="AZ107">
        <v>4</v>
      </c>
      <c r="BA107">
        <v>0</v>
      </c>
      <c r="BB107">
        <v>0</v>
      </c>
      <c r="BC107">
        <v>2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2</v>
      </c>
      <c r="BJ107">
        <v>4</v>
      </c>
      <c r="BK107">
        <v>1.4377577192343201</v>
      </c>
      <c r="BL107">
        <v>145</v>
      </c>
      <c r="BM107">
        <v>69</v>
      </c>
      <c r="BN107">
        <v>3.9083504203503199</v>
      </c>
      <c r="BO107">
        <v>21012.415445892901</v>
      </c>
      <c r="BP107" t="s">
        <v>790</v>
      </c>
      <c r="BQ107" t="str">
        <f>SUBSTITUTE(SUBSTITUTE(SUBSTITUTE(SUBSTITUTE(SUBSTITUTE(SUBSTITUTE(SUBSTITUTE(I107,"[",""),"]",""),"'",""),"M1-LOD-KS","לוד-כפרסבא (מטרו)"),"M1-KS-LOD","כפר סבא-לוד (מטרו)"),"M1-RA-RE","רעננה-רחובות (מטרו)"),"M1-RE-RA","רחובות-רעננה (מטרו)")</f>
        <v>לוד-כפרסבא (מטרו), רצועת הנופש-צומת חולון (BRT), צומת חולון-רצועת הנופש (BRT), כפר סבא-לוד (מטרו)</v>
      </c>
      <c r="BR107">
        <f>IF($AP107="ארצי",COUNTIFS($AP$2:$AP$143,"ארצי",$BK$2:$BK$143,"&gt;"&amp;$BK107)+1,COUNTIFS($AP$2:$AP$143,$AP107,$L$2:$L$143,$L107,$BK$2:$BK$143,"&gt;"&amp;$BK107)+1)</f>
        <v>52</v>
      </c>
    </row>
    <row r="108" spans="1:70" x14ac:dyDescent="0.25">
      <c r="A108">
        <v>149</v>
      </c>
      <c r="B108">
        <v>34.862873041005798</v>
      </c>
      <c r="C108">
        <v>32.287125689603499</v>
      </c>
      <c r="D108" t="s">
        <v>650</v>
      </c>
      <c r="E108" t="s">
        <v>651</v>
      </c>
      <c r="F108" t="s">
        <v>127</v>
      </c>
      <c r="G108" t="s">
        <v>128</v>
      </c>
      <c r="H108" t="s">
        <v>652</v>
      </c>
      <c r="I108" t="s">
        <v>653</v>
      </c>
      <c r="J108" t="s">
        <v>74</v>
      </c>
      <c r="K108" t="s">
        <v>75</v>
      </c>
      <c r="L108" t="s">
        <v>75</v>
      </c>
      <c r="M108" t="s">
        <v>131</v>
      </c>
      <c r="N108" t="s">
        <v>132</v>
      </c>
      <c r="O108">
        <v>19938.18</v>
      </c>
      <c r="P108">
        <v>18031.28</v>
      </c>
      <c r="Q108">
        <v>0.90435937482759199</v>
      </c>
      <c r="R108">
        <v>2</v>
      </c>
      <c r="S108">
        <v>0</v>
      </c>
      <c r="T108">
        <v>0</v>
      </c>
      <c r="U108">
        <v>0</v>
      </c>
      <c r="V108">
        <v>0</v>
      </c>
      <c r="W108">
        <v>2</v>
      </c>
      <c r="X108">
        <v>0</v>
      </c>
      <c r="Y108">
        <v>0</v>
      </c>
      <c r="Z108">
        <v>3530.6935585647898</v>
      </c>
      <c r="AA108">
        <v>14315.612742957501</v>
      </c>
      <c r="AB108">
        <v>9867.5940606564891</v>
      </c>
      <c r="AC108">
        <v>15374.3277684481</v>
      </c>
      <c r="AD108">
        <v>8166.0327759178799</v>
      </c>
      <c r="AE108">
        <v>7188.04245288536</v>
      </c>
      <c r="AF108">
        <v>21564.320395139101</v>
      </c>
      <c r="AG108">
        <v>36877.982964290997</v>
      </c>
      <c r="AH108">
        <v>0</v>
      </c>
      <c r="AI108">
        <v>2</v>
      </c>
      <c r="AJ108">
        <v>0</v>
      </c>
      <c r="AK108">
        <v>2</v>
      </c>
      <c r="AL108">
        <v>19.8</v>
      </c>
      <c r="AM108">
        <v>0</v>
      </c>
      <c r="AN108" t="s">
        <v>140</v>
      </c>
      <c r="AO108" t="b">
        <v>0</v>
      </c>
      <c r="AP108" t="s">
        <v>140</v>
      </c>
      <c r="AQ108">
        <v>0</v>
      </c>
      <c r="AR108">
        <v>1</v>
      </c>
      <c r="AS108">
        <v>1.2516238350748301</v>
      </c>
      <c r="AT108">
        <v>1</v>
      </c>
      <c r="AU108">
        <v>6.89718925168774</v>
      </c>
      <c r="AV108">
        <v>2.1517641724458998</v>
      </c>
      <c r="AW108">
        <v>2.49855395126077</v>
      </c>
      <c r="AX108">
        <v>111</v>
      </c>
      <c r="AY108">
        <v>25</v>
      </c>
      <c r="AZ108">
        <v>4</v>
      </c>
      <c r="BA108">
        <v>0</v>
      </c>
      <c r="BB108">
        <v>0</v>
      </c>
      <c r="BC108">
        <v>4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4</v>
      </c>
      <c r="BJ108">
        <v>4</v>
      </c>
      <c r="BK108">
        <v>2.49855395126077</v>
      </c>
      <c r="BL108">
        <v>111</v>
      </c>
      <c r="BM108">
        <v>25</v>
      </c>
      <c r="BN108">
        <v>4.2996855124494804</v>
      </c>
      <c r="BO108">
        <v>24627.052908969501</v>
      </c>
      <c r="BP108" t="s">
        <v>654</v>
      </c>
      <c r="BQ108" t="str">
        <f>SUBSTITUTE(SUBSTITUTE(SUBSTITUTE(SUBSTITUTE(SUBSTITUTE(SUBSTITUTE(SUBSTITUTE(I108,"[",""),"]",""),"'",""),"M1-LOD-KS","לוד-כפרסבא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(BRT), נתניה מערב-הרצליה (רק"ל), הרצליה-נתניה מערב (רק"ל)</v>
      </c>
      <c r="BR108">
        <f>IF($AP108="ארצי",COUNTIFS($AP$2:$AP$143,"ארצי",$BK$2:$BK$143,"&gt;"&amp;$BK108)+1,COUNTIFS($AP$2:$AP$143,$AP108,$L$2:$L$143,$L108,$BK$2:$BK$143,"&gt;"&amp;$BK108)+1)</f>
        <v>11</v>
      </c>
    </row>
    <row r="109" spans="1:70" x14ac:dyDescent="0.25">
      <c r="A109">
        <v>447</v>
      </c>
      <c r="B109">
        <v>34.863063061551301</v>
      </c>
      <c r="C109">
        <v>32.0603150537153</v>
      </c>
      <c r="D109" t="s">
        <v>655</v>
      </c>
      <c r="E109" t="s">
        <v>656</v>
      </c>
      <c r="F109" t="s">
        <v>202</v>
      </c>
      <c r="G109" t="s">
        <v>203</v>
      </c>
      <c r="H109" t="s">
        <v>576</v>
      </c>
      <c r="I109" t="s">
        <v>577</v>
      </c>
      <c r="J109" t="s">
        <v>74</v>
      </c>
      <c r="K109" t="s">
        <v>75</v>
      </c>
      <c r="L109" t="s">
        <v>75</v>
      </c>
      <c r="M109" t="s">
        <v>139</v>
      </c>
      <c r="N109" t="s">
        <v>132</v>
      </c>
      <c r="O109">
        <v>55506.039999999899</v>
      </c>
      <c r="P109">
        <v>33621.46</v>
      </c>
      <c r="Q109">
        <v>0.60572615160440202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2</v>
      </c>
      <c r="X109">
        <v>2</v>
      </c>
      <c r="Y109">
        <v>0</v>
      </c>
      <c r="Z109">
        <v>13347.075043719</v>
      </c>
      <c r="AA109">
        <v>11780.682262352901</v>
      </c>
      <c r="AB109">
        <v>18765.077945418099</v>
      </c>
      <c r="AC109">
        <v>9005.8735782229196</v>
      </c>
      <c r="AD109">
        <v>12609.849060771499</v>
      </c>
      <c r="AE109">
        <v>3854.38995319788</v>
      </c>
      <c r="AF109">
        <v>44722.002049908799</v>
      </c>
      <c r="AG109">
        <v>24640.945793773699</v>
      </c>
      <c r="AH109">
        <v>0</v>
      </c>
      <c r="AI109">
        <v>2</v>
      </c>
      <c r="AJ109">
        <v>0</v>
      </c>
      <c r="AK109">
        <v>2</v>
      </c>
      <c r="AL109">
        <v>24.2</v>
      </c>
      <c r="AM109">
        <v>0</v>
      </c>
      <c r="AN109" t="s">
        <v>103</v>
      </c>
      <c r="AO109" t="b">
        <v>0</v>
      </c>
      <c r="AP109" t="s">
        <v>103</v>
      </c>
      <c r="AQ109">
        <v>0</v>
      </c>
      <c r="AR109">
        <v>1</v>
      </c>
      <c r="AS109">
        <v>1.3634566506636501</v>
      </c>
      <c r="AT109">
        <v>1</v>
      </c>
      <c r="AU109">
        <v>6.2492767219319898</v>
      </c>
      <c r="AV109">
        <v>2.3456294701512399</v>
      </c>
      <c r="AW109">
        <v>2.4929857145188001</v>
      </c>
      <c r="AX109">
        <v>112</v>
      </c>
      <c r="AY109">
        <v>49</v>
      </c>
      <c r="AZ109">
        <v>4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2</v>
      </c>
      <c r="BG109">
        <v>0</v>
      </c>
      <c r="BH109">
        <v>0</v>
      </c>
      <c r="BI109">
        <v>2</v>
      </c>
      <c r="BJ109">
        <v>4</v>
      </c>
      <c r="BK109">
        <v>2.4929857145188001</v>
      </c>
      <c r="BL109">
        <v>112</v>
      </c>
      <c r="BM109">
        <v>49</v>
      </c>
      <c r="BN109">
        <v>4.7443402443108598</v>
      </c>
      <c r="BO109">
        <v>28657.157045000698</v>
      </c>
      <c r="BP109" t="s">
        <v>657</v>
      </c>
      <c r="BQ109" t="str">
        <f>SUBSTITUTE(SUBSTITUTE(SUBSTITUTE(SUBSTITUTE(SUBSTITUTE(SUBSTITUTE(SUBSTITUTE(I109,"[",""),"]",""),"'",""),"M1-LOD-KS","לוד-כפרסבא (מטרו)"),"M1-KS-LOD","כפר סבא-לוד (מטרו)"),"M1-RA-RE","רעננה-רחובות (מטרו)"),"M1-RE-RA","רחובות-רעננה (מטרו)")</f>
        <v>צומת בילו-צומת רעננה (רק"ל), צומת רעננה-צומת בילו (רק"ל), הרצליה-בת ים (מטרו), בת ים-הרצליה (מטרו)</v>
      </c>
      <c r="BR109">
        <f>IF($AP109="ארצי",COUNTIFS($AP$2:$AP$143,"ארצי",$BK$2:$BK$143,"&gt;"&amp;$BK109)+1,COUNTIFS($AP$2:$AP$143,$AP109,$L$2:$L$143,$L109,$BK$2:$BK$143,"&gt;"&amp;$BK109)+1)</f>
        <v>33</v>
      </c>
    </row>
    <row r="110" spans="1:70" x14ac:dyDescent="0.25">
      <c r="A110">
        <v>23</v>
      </c>
      <c r="B110">
        <v>34.989449741251804</v>
      </c>
      <c r="C110">
        <v>32.240650327156601</v>
      </c>
      <c r="D110" t="s">
        <v>658</v>
      </c>
      <c r="E110" t="s">
        <v>659</v>
      </c>
      <c r="F110" t="s">
        <v>127</v>
      </c>
      <c r="G110" t="s">
        <v>128</v>
      </c>
      <c r="H110" t="s">
        <v>144</v>
      </c>
      <c r="I110" t="s">
        <v>145</v>
      </c>
      <c r="J110" t="s">
        <v>74</v>
      </c>
      <c r="K110" t="s">
        <v>75</v>
      </c>
      <c r="L110" t="s">
        <v>75</v>
      </c>
      <c r="M110" t="s">
        <v>131</v>
      </c>
      <c r="N110" t="s">
        <v>132</v>
      </c>
      <c r="O110">
        <v>1616.77</v>
      </c>
      <c r="P110">
        <v>1.306235</v>
      </c>
      <c r="Q110">
        <v>8.0792877156305397E-4</v>
      </c>
      <c r="R110">
        <v>1</v>
      </c>
      <c r="S110">
        <v>0</v>
      </c>
      <c r="T110">
        <v>0</v>
      </c>
      <c r="U110">
        <v>0</v>
      </c>
      <c r="V110">
        <v>0</v>
      </c>
      <c r="W110">
        <v>1</v>
      </c>
      <c r="X110">
        <v>0</v>
      </c>
      <c r="Y110">
        <v>0</v>
      </c>
      <c r="Z110">
        <v>2978.99592358988</v>
      </c>
      <c r="AA110">
        <v>699.01488781441003</v>
      </c>
      <c r="AB110">
        <v>4707.6441735482504</v>
      </c>
      <c r="AC110">
        <v>1389.7343399568999</v>
      </c>
      <c r="AD110">
        <v>2954.2443540525901</v>
      </c>
      <c r="AE110">
        <v>868.45943350140305</v>
      </c>
      <c r="AF110">
        <v>10640.884451190699</v>
      </c>
      <c r="AG110">
        <v>2957.2086612727198</v>
      </c>
      <c r="AH110">
        <v>0</v>
      </c>
      <c r="AI110">
        <v>2</v>
      </c>
      <c r="AJ110">
        <v>0</v>
      </c>
      <c r="AK110">
        <v>2</v>
      </c>
      <c r="AL110">
        <v>9.9</v>
      </c>
      <c r="AM110">
        <v>0</v>
      </c>
      <c r="AN110" t="s">
        <v>133</v>
      </c>
      <c r="AO110" t="b">
        <v>0</v>
      </c>
      <c r="AP110" t="s">
        <v>133</v>
      </c>
      <c r="AQ110">
        <v>0</v>
      </c>
      <c r="AR110">
        <v>1</v>
      </c>
      <c r="AS110">
        <v>1</v>
      </c>
      <c r="AT110">
        <v>1</v>
      </c>
      <c r="AU110">
        <v>1.6773638116473299</v>
      </c>
      <c r="AV110">
        <v>1.18327525611357</v>
      </c>
      <c r="AW110">
        <v>2.4072211769272398</v>
      </c>
      <c r="AX110">
        <v>113</v>
      </c>
      <c r="AY110">
        <v>24</v>
      </c>
      <c r="AZ110">
        <v>2</v>
      </c>
      <c r="BA110">
        <v>0</v>
      </c>
      <c r="BB110">
        <v>0</v>
      </c>
      <c r="BC110">
        <v>2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2</v>
      </c>
      <c r="BJ110">
        <v>2</v>
      </c>
      <c r="BK110">
        <v>2.4072211769272398</v>
      </c>
      <c r="BL110">
        <v>113</v>
      </c>
      <c r="BM110">
        <v>24</v>
      </c>
      <c r="BN110">
        <v>3.2086482420242302</v>
      </c>
      <c r="BO110">
        <v>4493.9438192563202</v>
      </c>
      <c r="BP110" t="s">
        <v>660</v>
      </c>
      <c r="BQ110" t="str">
        <f>SUBSTITUTE(SUBSTITUTE(SUBSTITUTE(SUBSTITUTE(SUBSTITUTE(SUBSTITUTE(SUBSTITUTE(I110,"[",""),"]",""),"'",""),"M1-LOD-KS","לוד-כפרסבא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110">
        <f>IF($AP110="ארצי",COUNTIFS($AP$2:$AP$143,"ארצי",$BK$2:$BK$143,"&gt;"&amp;$BK110)+1,COUNTIFS($AP$2:$AP$143,$AP110,$L$2:$L$143,$L110,$BK$2:$BK$143,"&gt;"&amp;$BK110)+1)</f>
        <v>24</v>
      </c>
    </row>
    <row r="111" spans="1:70" x14ac:dyDescent="0.25">
      <c r="A111">
        <v>118</v>
      </c>
      <c r="B111">
        <v>34.894294871341003</v>
      </c>
      <c r="C111">
        <v>32.156689707468502</v>
      </c>
      <c r="D111" t="s">
        <v>661</v>
      </c>
      <c r="E111" t="s">
        <v>662</v>
      </c>
      <c r="F111" t="s">
        <v>202</v>
      </c>
      <c r="G111" t="s">
        <v>203</v>
      </c>
      <c r="H111" t="s">
        <v>663</v>
      </c>
      <c r="I111" t="s">
        <v>664</v>
      </c>
      <c r="J111" t="s">
        <v>74</v>
      </c>
      <c r="K111" t="s">
        <v>75</v>
      </c>
      <c r="L111" t="s">
        <v>75</v>
      </c>
      <c r="M111" t="s">
        <v>216</v>
      </c>
      <c r="N111" t="s">
        <v>132</v>
      </c>
      <c r="O111">
        <v>55884.65</v>
      </c>
      <c r="P111">
        <v>17990.57</v>
      </c>
      <c r="Q111">
        <v>0.321923283048207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2</v>
      </c>
      <c r="X111">
        <v>2</v>
      </c>
      <c r="Y111">
        <v>0</v>
      </c>
      <c r="Z111">
        <v>16072.4858690889</v>
      </c>
      <c r="AA111">
        <v>5624.1793589239596</v>
      </c>
      <c r="AB111">
        <v>24420.163805880999</v>
      </c>
      <c r="AC111">
        <v>8491.7031219175497</v>
      </c>
      <c r="AD111">
        <v>15286.5258128349</v>
      </c>
      <c r="AE111">
        <v>5408.6905649734099</v>
      </c>
      <c r="AF111">
        <v>55779.175487804801</v>
      </c>
      <c r="AG111">
        <v>19524.573045814901</v>
      </c>
      <c r="AH111">
        <v>0</v>
      </c>
      <c r="AI111">
        <v>2</v>
      </c>
      <c r="AJ111">
        <v>0</v>
      </c>
      <c r="AK111">
        <v>2</v>
      </c>
      <c r="AL111">
        <v>24.2</v>
      </c>
      <c r="AM111">
        <v>0</v>
      </c>
      <c r="AN111" t="s">
        <v>103</v>
      </c>
      <c r="AO111" t="b">
        <v>0</v>
      </c>
      <c r="AP111" t="s">
        <v>103</v>
      </c>
      <c r="AQ111">
        <v>0</v>
      </c>
      <c r="AR111">
        <v>1</v>
      </c>
      <c r="AS111">
        <v>1.3634566506636501</v>
      </c>
      <c r="AT111">
        <v>1</v>
      </c>
      <c r="AU111">
        <v>6.2642634210279597</v>
      </c>
      <c r="AV111">
        <v>2.2551133831254102</v>
      </c>
      <c r="AW111">
        <v>2.3959412313930302</v>
      </c>
      <c r="AX111">
        <v>114</v>
      </c>
      <c r="AY111">
        <v>50</v>
      </c>
      <c r="AZ111">
        <v>4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4</v>
      </c>
      <c r="BK111">
        <v>2.3959412313930302</v>
      </c>
      <c r="BL111">
        <v>114</v>
      </c>
      <c r="BM111">
        <v>50</v>
      </c>
      <c r="BN111">
        <v>4.7472925353326403</v>
      </c>
      <c r="BO111">
        <v>26775.493534212899</v>
      </c>
      <c r="BP111" t="s">
        <v>665</v>
      </c>
      <c r="BQ111" t="str">
        <f>SUBSTITUTE(SUBSTITUTE(SUBSTITUTE(SUBSTITUTE(SUBSTITUTE(SUBSTITUTE(SUBSTITUTE(I111,"[",""),"]",""),"'",""),"M1-LOD-KS","לוד-כפרסבא (מטרו)"),"M1-KS-LOD","כפר סבא-לוד (מטרו)"),"M1-RA-RE","רעננה-רחובות (מטרו)"),"M1-RE-RA","רחובות-רעננה (מטרו)")</f>
        <v>צומת בילו-צומת רעננה (רק"ל), צומת רעננה-צומת בילו (רק"ל), לוד-כפרסבא (מטרו), כפר סבא-לוד (מטרו)</v>
      </c>
      <c r="BR111">
        <f>IF($AP111="ארצי",COUNTIFS($AP$2:$AP$143,"ארצי",$BK$2:$BK$143,"&gt;"&amp;$BK111)+1,COUNTIFS($AP$2:$AP$143,$AP111,$L$2:$L$143,$L111,$BK$2:$BK$143,"&gt;"&amp;$BK111)+1)</f>
        <v>34</v>
      </c>
    </row>
    <row r="112" spans="1:70" x14ac:dyDescent="0.25">
      <c r="A112">
        <v>892</v>
      </c>
      <c r="B112">
        <v>34.6620514797605</v>
      </c>
      <c r="C112">
        <v>31.820833107531801</v>
      </c>
      <c r="D112" t="s">
        <v>666</v>
      </c>
      <c r="E112" t="s">
        <v>667</v>
      </c>
      <c r="F112" t="s">
        <v>127</v>
      </c>
      <c r="G112" t="s">
        <v>128</v>
      </c>
      <c r="H112" t="s">
        <v>668</v>
      </c>
      <c r="I112" t="s">
        <v>669</v>
      </c>
      <c r="J112" t="s">
        <v>74</v>
      </c>
      <c r="K112" t="s">
        <v>75</v>
      </c>
      <c r="L112" t="s">
        <v>75</v>
      </c>
      <c r="M112" t="s">
        <v>131</v>
      </c>
      <c r="N112" t="s">
        <v>132</v>
      </c>
      <c r="O112">
        <v>9714.76</v>
      </c>
      <c r="P112">
        <v>150.16</v>
      </c>
      <c r="Q112">
        <v>1.54568923987828E-2</v>
      </c>
      <c r="R112">
        <v>1</v>
      </c>
      <c r="S112">
        <v>0</v>
      </c>
      <c r="T112">
        <v>0</v>
      </c>
      <c r="U112">
        <v>0</v>
      </c>
      <c r="V112">
        <v>0</v>
      </c>
      <c r="W112">
        <v>6</v>
      </c>
      <c r="X112">
        <v>0</v>
      </c>
      <c r="Y112">
        <v>0</v>
      </c>
      <c r="Z112">
        <v>7236.4235935328998</v>
      </c>
      <c r="AA112">
        <v>5429.1659729640196</v>
      </c>
      <c r="AB112">
        <v>8543.1167714158892</v>
      </c>
      <c r="AC112">
        <v>6802.1737147391595</v>
      </c>
      <c r="AD112">
        <v>4137.0214050967097</v>
      </c>
      <c r="AE112">
        <v>3400.3687183751199</v>
      </c>
      <c r="AF112">
        <v>19916.5617700455</v>
      </c>
      <c r="AG112">
        <v>15631.7084060783</v>
      </c>
      <c r="AH112">
        <v>0</v>
      </c>
      <c r="AI112">
        <v>2</v>
      </c>
      <c r="AJ112">
        <v>0</v>
      </c>
      <c r="AK112">
        <v>2</v>
      </c>
      <c r="AL112">
        <v>37.4</v>
      </c>
      <c r="AM112">
        <v>0</v>
      </c>
      <c r="AN112" t="s">
        <v>140</v>
      </c>
      <c r="AO112" t="b">
        <v>0</v>
      </c>
      <c r="AP112" t="s">
        <v>140</v>
      </c>
      <c r="AQ112">
        <v>0</v>
      </c>
      <c r="AR112">
        <v>1</v>
      </c>
      <c r="AS112">
        <v>1.6989550974301</v>
      </c>
      <c r="AT112">
        <v>1</v>
      </c>
      <c r="AU112">
        <v>5.36650413320982</v>
      </c>
      <c r="AV112">
        <v>1.8839453754222999</v>
      </c>
      <c r="AW112">
        <v>2.3847630569810798</v>
      </c>
      <c r="AX112">
        <v>115</v>
      </c>
      <c r="AY112">
        <v>26</v>
      </c>
      <c r="AZ112">
        <v>7</v>
      </c>
      <c r="BA112">
        <v>2</v>
      </c>
      <c r="BB112">
        <v>0</v>
      </c>
      <c r="BC112">
        <v>2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4</v>
      </c>
      <c r="BJ112">
        <v>7</v>
      </c>
      <c r="BK112">
        <v>2.3847630569810798</v>
      </c>
      <c r="BL112">
        <v>115</v>
      </c>
      <c r="BM112">
        <v>26</v>
      </c>
      <c r="BN112">
        <v>3.9874320759637798</v>
      </c>
      <c r="BO112">
        <v>19059.591097252</v>
      </c>
      <c r="BP112" t="s">
        <v>670</v>
      </c>
      <c r="BQ112" t="str">
        <f>SUBSTITUTE(SUBSTITUTE(SUBSTITUTE(SUBSTITUTE(SUBSTITUTE(SUBSTITUTE(SUBSTITUTE(I112,"[",""),"]",""),"'",""),"M1-LOD-KS","לוד-כפרסבא (מטרו)"),"M1-KS-LOD","כפר סבא-לוד (מטרו)"),"M1-RA-RE","רעננה-רחובות (מטרו)"),"M1-RE-RA","רחובות-רעננה (מטרו)")</f>
        <v>אשדוד-אשקלון (אדום) (רק"ל), אשקלון-אשדוד (אדום) (רק"ל), רחובות-גן יבנה (דרך אשדוד) (BRT), אשדוד-יבנה (דרך הנמל) (רק"ל), יבנה-אשדוד (דרך הנמל) (רק"ל), אשדוד-רחובות (דרך הנמל) (רק"ל), רחובות-אשדוד (דרך הנמל) (רק"ל)</v>
      </c>
      <c r="BR112">
        <f>IF($AP112="ארצי",COUNTIFS($AP$2:$AP$143,"ארצי",$BK$2:$BK$143,"&gt;"&amp;$BK112)+1,COUNTIFS($AP$2:$AP$143,$AP112,$L$2:$L$143,$L112,$BK$2:$BK$143,"&gt;"&amp;$BK112)+1)</f>
        <v>12</v>
      </c>
    </row>
    <row r="113" spans="1:70" x14ac:dyDescent="0.25">
      <c r="A113">
        <v>697</v>
      </c>
      <c r="B113">
        <v>34.845988723278097</v>
      </c>
      <c r="C113">
        <v>32.0456108497754</v>
      </c>
      <c r="D113" t="s">
        <v>671</v>
      </c>
      <c r="E113" t="s">
        <v>672</v>
      </c>
      <c r="F113" t="s">
        <v>202</v>
      </c>
      <c r="G113" t="s">
        <v>203</v>
      </c>
      <c r="H113" t="s">
        <v>576</v>
      </c>
      <c r="I113" t="s">
        <v>577</v>
      </c>
      <c r="J113" t="s">
        <v>74</v>
      </c>
      <c r="K113" t="s">
        <v>75</v>
      </c>
      <c r="L113" t="s">
        <v>75</v>
      </c>
      <c r="M113" t="s">
        <v>139</v>
      </c>
      <c r="N113" t="s">
        <v>132</v>
      </c>
      <c r="O113">
        <v>43262.25</v>
      </c>
      <c r="P113">
        <v>5781.33</v>
      </c>
      <c r="Q113">
        <v>0.133634519702512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2</v>
      </c>
      <c r="X113">
        <v>2</v>
      </c>
      <c r="Y113">
        <v>0</v>
      </c>
      <c r="Z113">
        <v>14783.4003057504</v>
      </c>
      <c r="AA113">
        <v>10159.5063811277</v>
      </c>
      <c r="AB113">
        <v>25092.458544329798</v>
      </c>
      <c r="AC113">
        <v>11585.749984324701</v>
      </c>
      <c r="AD113">
        <v>15293.090922089599</v>
      </c>
      <c r="AE113">
        <v>6982.8376082219002</v>
      </c>
      <c r="AF113">
        <v>55168.949772169901</v>
      </c>
      <c r="AG113">
        <v>28728.0939736744</v>
      </c>
      <c r="AH113">
        <v>0</v>
      </c>
      <c r="AI113">
        <v>2</v>
      </c>
      <c r="AJ113">
        <v>0</v>
      </c>
      <c r="AK113">
        <v>2</v>
      </c>
      <c r="AL113">
        <v>24.2</v>
      </c>
      <c r="AM113">
        <v>0</v>
      </c>
      <c r="AN113" t="s">
        <v>103</v>
      </c>
      <c r="AO113" t="b">
        <v>0</v>
      </c>
      <c r="AP113" t="s">
        <v>103</v>
      </c>
      <c r="AQ113">
        <v>0</v>
      </c>
      <c r="AR113">
        <v>1</v>
      </c>
      <c r="AS113">
        <v>1.3634566506636501</v>
      </c>
      <c r="AT113">
        <v>1</v>
      </c>
      <c r="AU113">
        <v>5.6998635573917698</v>
      </c>
      <c r="AV113">
        <v>2.6034255592643598</v>
      </c>
      <c r="AW113">
        <v>2.3806890611602798</v>
      </c>
      <c r="AX113">
        <v>116</v>
      </c>
      <c r="AY113">
        <v>51</v>
      </c>
      <c r="AZ113">
        <v>4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2</v>
      </c>
      <c r="BG113">
        <v>0</v>
      </c>
      <c r="BH113">
        <v>0</v>
      </c>
      <c r="BI113">
        <v>2</v>
      </c>
      <c r="BJ113">
        <v>4</v>
      </c>
      <c r="BK113">
        <v>2.3806890611602798</v>
      </c>
      <c r="BL113">
        <v>116</v>
      </c>
      <c r="BM113">
        <v>51</v>
      </c>
      <c r="BN113">
        <v>4.6361091026475298</v>
      </c>
      <c r="BO113">
        <v>34016.265133373498</v>
      </c>
      <c r="BP113" t="s">
        <v>673</v>
      </c>
      <c r="BQ113" t="str">
        <f>SUBSTITUTE(SUBSTITUTE(SUBSTITUTE(SUBSTITUTE(SUBSTITUTE(SUBSTITUTE(SUBSTITUTE(I113,"[",""),"]",""),"'",""),"M1-LOD-KS","לוד-כפרסבא (מטרו)"),"M1-KS-LOD","כפר סבא-לוד (מטרו)"),"M1-RA-RE","רעננה-רחובות (מטרו)"),"M1-RE-RA","רחובות-רעננה (מטרו)")</f>
        <v>צומת בילו-צומת רעננה (רק"ל), צומת רעננה-צומת בילו (רק"ל), הרצליה-בת ים (מטרו), בת ים-הרצליה (מטרו)</v>
      </c>
      <c r="BR113">
        <f>IF($AP113="ארצי",COUNTIFS($AP$2:$AP$143,"ארצי",$BK$2:$BK$143,"&gt;"&amp;$BK113)+1,COUNTIFS($AP$2:$AP$143,$AP113,$L$2:$L$143,$L113,$BK$2:$BK$143,"&gt;"&amp;$BK113)+1)</f>
        <v>35</v>
      </c>
    </row>
    <row r="114" spans="1:70" x14ac:dyDescent="0.25">
      <c r="A114">
        <v>316</v>
      </c>
      <c r="B114">
        <v>34.892131739994902</v>
      </c>
      <c r="C114">
        <v>31.9457298894242</v>
      </c>
      <c r="D114" t="s">
        <v>674</v>
      </c>
      <c r="E114" t="s">
        <v>675</v>
      </c>
      <c r="F114" t="s">
        <v>373</v>
      </c>
      <c r="G114" t="s">
        <v>374</v>
      </c>
      <c r="H114" t="s">
        <v>676</v>
      </c>
      <c r="I114" t="s">
        <v>677</v>
      </c>
      <c r="J114" t="s">
        <v>74</v>
      </c>
      <c r="K114" t="s">
        <v>75</v>
      </c>
      <c r="L114" t="s">
        <v>75</v>
      </c>
      <c r="M114" t="s">
        <v>216</v>
      </c>
      <c r="N114" t="s">
        <v>132</v>
      </c>
      <c r="O114">
        <v>41726.85</v>
      </c>
      <c r="P114">
        <v>13993.76</v>
      </c>
      <c r="Q114">
        <v>0.33536583758419303</v>
      </c>
      <c r="R114">
        <v>2</v>
      </c>
      <c r="S114">
        <v>0</v>
      </c>
      <c r="T114">
        <v>0</v>
      </c>
      <c r="U114">
        <v>0</v>
      </c>
      <c r="V114">
        <v>0</v>
      </c>
      <c r="W114">
        <v>2</v>
      </c>
      <c r="X114">
        <v>2</v>
      </c>
      <c r="Y114">
        <v>0</v>
      </c>
      <c r="Z114">
        <v>12662.9149095579</v>
      </c>
      <c r="AA114">
        <v>5587.5915245452497</v>
      </c>
      <c r="AB114">
        <v>21812.4499083064</v>
      </c>
      <c r="AC114">
        <v>10811.9545794594</v>
      </c>
      <c r="AD114">
        <v>14278.488399563201</v>
      </c>
      <c r="AE114">
        <v>8340.2611102395094</v>
      </c>
      <c r="AF114">
        <v>48753.853217427699</v>
      </c>
      <c r="AG114">
        <v>24739.8072142442</v>
      </c>
      <c r="AH114">
        <v>0</v>
      </c>
      <c r="AI114">
        <v>2</v>
      </c>
      <c r="AJ114">
        <v>0</v>
      </c>
      <c r="AK114">
        <v>3</v>
      </c>
      <c r="AL114">
        <v>36</v>
      </c>
      <c r="AM114">
        <v>0</v>
      </c>
      <c r="AN114" t="s">
        <v>103</v>
      </c>
      <c r="AO114" t="b">
        <v>0</v>
      </c>
      <c r="AP114" t="s">
        <v>103</v>
      </c>
      <c r="AQ114">
        <v>0</v>
      </c>
      <c r="AR114">
        <v>1</v>
      </c>
      <c r="AS114">
        <v>1.6633719288336599</v>
      </c>
      <c r="AT114">
        <v>1</v>
      </c>
      <c r="AU114">
        <v>5.6201987172413697</v>
      </c>
      <c r="AV114">
        <v>2.3882238643786899</v>
      </c>
      <c r="AW114">
        <v>2.3793911581432998</v>
      </c>
      <c r="AX114">
        <v>117</v>
      </c>
      <c r="AY114">
        <v>52</v>
      </c>
      <c r="AZ114">
        <v>6</v>
      </c>
      <c r="BA114">
        <v>0</v>
      </c>
      <c r="BB114">
        <v>0</v>
      </c>
      <c r="BC114">
        <v>2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2</v>
      </c>
      <c r="BJ114">
        <v>6</v>
      </c>
      <c r="BK114">
        <v>2.3793911581432998</v>
      </c>
      <c r="BL114">
        <v>117</v>
      </c>
      <c r="BM114">
        <v>52</v>
      </c>
      <c r="BN114">
        <v>4.6204156006414099</v>
      </c>
      <c r="BO114">
        <v>29542.6164148809</v>
      </c>
      <c r="BP114" t="s">
        <v>678</v>
      </c>
      <c r="BQ114" t="str">
        <f>SUBSTITUTE(SUBSTITUTE(SUBSTITUTE(SUBSTITUTE(SUBSTITUTE(SUBSTITUTE(SUBSTITUTE(I114,"[",""),"]",""),"'",""),"M1-LOD-KS","לוד-כפרסבא (מטרו)"),"M1-KS-LOD","כפר סבא-לוד (מטרו)"),"M1-RA-RE","רעננה-רחובות (מטרו)"),"M1-RE-RA","רחובות-רעננה (מטרו)")</f>
        <v>רצועת הנופש-צומת חולון (BRT), צומת חולון-רצועת הנופש (BRT), לוד-כפרסבא (מטרו), צומת בילו-צומת רעננה (רק"ל), צומת רעננה-צומת בילו (רק"ל), כפר סבא-לוד (מטרו)</v>
      </c>
      <c r="BR114">
        <f>IF($AP114="ארצי",COUNTIFS($AP$2:$AP$143,"ארצי",$BK$2:$BK$143,"&gt;"&amp;$BK114)+1,COUNTIFS($AP$2:$AP$143,$AP114,$L$2:$L$143,$L114,$BK$2:$BK$143,"&gt;"&amp;$BK114)+1)</f>
        <v>36</v>
      </c>
    </row>
    <row r="115" spans="1:70" x14ac:dyDescent="0.25">
      <c r="A115">
        <v>897</v>
      </c>
      <c r="B115">
        <v>34.671019126365998</v>
      </c>
      <c r="C115">
        <v>31.827801757662598</v>
      </c>
      <c r="D115" t="s">
        <v>679</v>
      </c>
      <c r="E115" t="s">
        <v>680</v>
      </c>
      <c r="F115" t="s">
        <v>127</v>
      </c>
      <c r="G115" t="s">
        <v>128</v>
      </c>
      <c r="H115" t="s">
        <v>681</v>
      </c>
      <c r="I115" t="s">
        <v>682</v>
      </c>
      <c r="J115" t="s">
        <v>74</v>
      </c>
      <c r="K115" t="s">
        <v>75</v>
      </c>
      <c r="L115" t="s">
        <v>75</v>
      </c>
      <c r="M115" t="s">
        <v>131</v>
      </c>
      <c r="N115" t="s">
        <v>132</v>
      </c>
      <c r="O115">
        <v>19749.686900000001</v>
      </c>
      <c r="P115">
        <v>19705.59</v>
      </c>
      <c r="Q115">
        <v>0.99776721017283498</v>
      </c>
      <c r="R115">
        <v>1</v>
      </c>
      <c r="S115">
        <v>0</v>
      </c>
      <c r="T115">
        <v>0</v>
      </c>
      <c r="U115">
        <v>0</v>
      </c>
      <c r="V115">
        <v>0</v>
      </c>
      <c r="W115">
        <v>4</v>
      </c>
      <c r="X115">
        <v>0</v>
      </c>
      <c r="Y115">
        <v>0</v>
      </c>
      <c r="Z115">
        <v>2359.0489749018302</v>
      </c>
      <c r="AA115">
        <v>2376.95619847536</v>
      </c>
      <c r="AB115">
        <v>3543.2777058745</v>
      </c>
      <c r="AC115">
        <v>3566.27689547317</v>
      </c>
      <c r="AD115">
        <v>2388.52026198148</v>
      </c>
      <c r="AE115">
        <v>2370.9620097127299</v>
      </c>
      <c r="AF115">
        <v>8290.8469427578202</v>
      </c>
      <c r="AG115">
        <v>8314.1951036612609</v>
      </c>
      <c r="AH115">
        <v>0</v>
      </c>
      <c r="AI115">
        <v>2</v>
      </c>
      <c r="AJ115">
        <v>0</v>
      </c>
      <c r="AK115">
        <v>2</v>
      </c>
      <c r="AL115">
        <v>26.4</v>
      </c>
      <c r="AM115">
        <v>0</v>
      </c>
      <c r="AN115" t="s">
        <v>140</v>
      </c>
      <c r="AO115" t="b">
        <v>0</v>
      </c>
      <c r="AP115" t="s">
        <v>140</v>
      </c>
      <c r="AQ115">
        <v>0</v>
      </c>
      <c r="AR115">
        <v>1</v>
      </c>
      <c r="AS115">
        <v>1.4193730584580599</v>
      </c>
      <c r="AT115">
        <v>1</v>
      </c>
      <c r="AU115">
        <v>6.8769667954089204</v>
      </c>
      <c r="AV115">
        <v>1.36614721404631</v>
      </c>
      <c r="AW115">
        <v>2.33879714660385</v>
      </c>
      <c r="AX115">
        <v>118</v>
      </c>
      <c r="AY115">
        <v>27</v>
      </c>
      <c r="AZ115">
        <v>5</v>
      </c>
      <c r="BA115">
        <v>2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2</v>
      </c>
      <c r="BJ115">
        <v>5</v>
      </c>
      <c r="BK115">
        <v>2.33879714660385</v>
      </c>
      <c r="BL115">
        <v>118</v>
      </c>
      <c r="BM115">
        <v>27</v>
      </c>
      <c r="BN115">
        <v>4.2955602149660104</v>
      </c>
      <c r="BO115">
        <v>8295.5165749385105</v>
      </c>
      <c r="BP115" t="s">
        <v>683</v>
      </c>
      <c r="BQ115" t="str">
        <f>SUBSTITUTE(SUBSTITUTE(SUBSTITUTE(SUBSTITUTE(SUBSTITUTE(SUBSTITUTE(SUBSTITUTE(I115,"[",""),"]",""),"'",""),"M1-LOD-KS","לוד-כפרסבא (מטרו)"),"M1-KS-LOD","כפר סבא-לוד (מטרו)"),"M1-RA-RE","רעננה-רחובות (מטרו)"),"M1-RE-RA","רחובות-רעננה (מטרו)")</f>
        <v>רחובות-גן יבנה (דרך אשדוד) (BRT), אשדוד-יבנה (דרך הנמל) (רק"ל), יבנה-אשדוד (דרך הנמל) (רק"ל), אשדוד-רחובות (דרך הנמל) (רק"ל), רחובות-אשדוד (דרך הנמל) (רק"ל)</v>
      </c>
      <c r="BR115">
        <f>IF($AP115="ארצי",COUNTIFS($AP$2:$AP$143,"ארצי",$BK$2:$BK$143,"&gt;"&amp;$BK115)+1,COUNTIFS($AP$2:$AP$143,$AP115,$L$2:$L$143,$L115,$BK$2:$BK$143,"&gt;"&amp;$BK115)+1)</f>
        <v>13</v>
      </c>
    </row>
    <row r="116" spans="1:70" x14ac:dyDescent="0.25">
      <c r="A116">
        <v>1</v>
      </c>
      <c r="B116">
        <v>34.986264484123403</v>
      </c>
      <c r="C116">
        <v>32.312690245683797</v>
      </c>
      <c r="D116" t="s">
        <v>684</v>
      </c>
      <c r="E116" t="s">
        <v>685</v>
      </c>
      <c r="F116" t="s">
        <v>127</v>
      </c>
      <c r="G116" t="s">
        <v>128</v>
      </c>
      <c r="H116" t="s">
        <v>144</v>
      </c>
      <c r="I116" t="s">
        <v>145</v>
      </c>
      <c r="J116" t="s">
        <v>74</v>
      </c>
      <c r="K116" t="s">
        <v>75</v>
      </c>
      <c r="L116" t="s">
        <v>75</v>
      </c>
      <c r="M116" t="s">
        <v>131</v>
      </c>
      <c r="N116" t="s">
        <v>132</v>
      </c>
      <c r="O116">
        <v>2773.04</v>
      </c>
      <c r="P116">
        <v>1075.3499999999999</v>
      </c>
      <c r="Q116">
        <v>0.38778741020684798</v>
      </c>
      <c r="R116">
        <v>1</v>
      </c>
      <c r="S116">
        <v>0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0</v>
      </c>
      <c r="Z116">
        <v>508.65597198245501</v>
      </c>
      <c r="AA116">
        <v>189.54981898078799</v>
      </c>
      <c r="AB116">
        <v>1201.5489555812801</v>
      </c>
      <c r="AC116">
        <v>427.76147490083503</v>
      </c>
      <c r="AD116">
        <v>1389.7977608245001</v>
      </c>
      <c r="AE116">
        <v>433.06057865090798</v>
      </c>
      <c r="AF116">
        <v>3100.0026883882501</v>
      </c>
      <c r="AG116">
        <v>1050.37187253253</v>
      </c>
      <c r="AH116">
        <v>0</v>
      </c>
      <c r="AI116">
        <v>2</v>
      </c>
      <c r="AJ116">
        <v>0</v>
      </c>
      <c r="AK116">
        <v>2</v>
      </c>
      <c r="AL116">
        <v>9.9</v>
      </c>
      <c r="AM116">
        <v>0</v>
      </c>
      <c r="AN116" t="s">
        <v>133</v>
      </c>
      <c r="AO116" t="b">
        <v>0</v>
      </c>
      <c r="AP116" t="s">
        <v>133</v>
      </c>
      <c r="AQ116">
        <v>0</v>
      </c>
      <c r="AR116">
        <v>1</v>
      </c>
      <c r="AS116">
        <v>1</v>
      </c>
      <c r="AT116">
        <v>1</v>
      </c>
      <c r="AU116">
        <v>3.1113348510274501</v>
      </c>
      <c r="AV116">
        <v>1.03734387987372</v>
      </c>
      <c r="AW116">
        <v>2.3335392228627998</v>
      </c>
      <c r="AX116">
        <v>119</v>
      </c>
      <c r="AY116">
        <v>25</v>
      </c>
      <c r="AZ116">
        <v>2</v>
      </c>
      <c r="BA116">
        <v>0</v>
      </c>
      <c r="BB116">
        <v>0</v>
      </c>
      <c r="BC116">
        <v>2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2</v>
      </c>
      <c r="BJ116">
        <v>2</v>
      </c>
      <c r="BK116">
        <v>2.3335392228627998</v>
      </c>
      <c r="BL116">
        <v>119</v>
      </c>
      <c r="BM116">
        <v>25</v>
      </c>
      <c r="BN116">
        <v>3.4429561341483499</v>
      </c>
      <c r="BO116">
        <v>1460.2980357036699</v>
      </c>
      <c r="BP116" t="s">
        <v>686</v>
      </c>
      <c r="BQ116" t="str">
        <f>SUBSTITUTE(SUBSTITUTE(SUBSTITUTE(SUBSTITUTE(SUBSTITUTE(SUBSTITUTE(SUBSTITUTE(I116,"[",""),"]",""),"'",""),"M1-LOD-KS","לוד-כפרסבא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116">
        <f>IF($AP116="ארצי",COUNTIFS($AP$2:$AP$143,"ארצי",$BK$2:$BK$143,"&gt;"&amp;$BK116)+1,COUNTIFS($AP$2:$AP$143,$AP116,$L$2:$L$143,$L116,$BK$2:$BK$143,"&gt;"&amp;$BK116)+1)</f>
        <v>25</v>
      </c>
    </row>
    <row r="117" spans="1:70" x14ac:dyDescent="0.25">
      <c r="A117">
        <v>181</v>
      </c>
      <c r="B117">
        <v>34.842779817757098</v>
      </c>
      <c r="C117">
        <v>32.167229331013097</v>
      </c>
      <c r="D117" t="s">
        <v>687</v>
      </c>
      <c r="E117" t="s">
        <v>688</v>
      </c>
      <c r="F117" t="s">
        <v>689</v>
      </c>
      <c r="G117" t="s">
        <v>690</v>
      </c>
      <c r="H117" t="s">
        <v>315</v>
      </c>
      <c r="I117" t="s">
        <v>316</v>
      </c>
      <c r="J117" t="s">
        <v>74</v>
      </c>
      <c r="K117" t="s">
        <v>75</v>
      </c>
      <c r="L117" t="s">
        <v>75</v>
      </c>
      <c r="M117" t="s">
        <v>139</v>
      </c>
      <c r="N117" t="s">
        <v>132</v>
      </c>
      <c r="O117">
        <v>46120.54</v>
      </c>
      <c r="P117">
        <v>18353.080000000002</v>
      </c>
      <c r="Q117">
        <v>0.39793723143744603</v>
      </c>
      <c r="R117">
        <v>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2</v>
      </c>
      <c r="Y117">
        <v>0</v>
      </c>
      <c r="Z117">
        <v>15532.2648273862</v>
      </c>
      <c r="AA117">
        <v>6964.5414906259402</v>
      </c>
      <c r="AB117">
        <v>26460.167160893699</v>
      </c>
      <c r="AC117">
        <v>11104.0470478849</v>
      </c>
      <c r="AD117">
        <v>15631.7336115581</v>
      </c>
      <c r="AE117">
        <v>6108.1365936429402</v>
      </c>
      <c r="AF117">
        <v>57624.165599838103</v>
      </c>
      <c r="AG117">
        <v>24176.725132153799</v>
      </c>
      <c r="AH117">
        <v>0</v>
      </c>
      <c r="AI117">
        <v>2</v>
      </c>
      <c r="AJ117">
        <v>0</v>
      </c>
      <c r="AK117">
        <v>2</v>
      </c>
      <c r="AL117">
        <v>22</v>
      </c>
      <c r="AM117">
        <v>0</v>
      </c>
      <c r="AN117" t="s">
        <v>103</v>
      </c>
      <c r="AO117" t="b">
        <v>0</v>
      </c>
      <c r="AP117" t="s">
        <v>103</v>
      </c>
      <c r="AQ117">
        <v>0</v>
      </c>
      <c r="AR117">
        <v>1</v>
      </c>
      <c r="AS117">
        <v>1.30754024286924</v>
      </c>
      <c r="AT117">
        <v>1</v>
      </c>
      <c r="AU117">
        <v>5.8409098300556801</v>
      </c>
      <c r="AV117">
        <v>2.4518945490826698</v>
      </c>
      <c r="AW117">
        <v>2.32589261814574</v>
      </c>
      <c r="AX117">
        <v>120</v>
      </c>
      <c r="AY117">
        <v>53</v>
      </c>
      <c r="AZ117">
        <v>4</v>
      </c>
      <c r="BA117">
        <v>2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2</v>
      </c>
      <c r="BJ117">
        <v>4</v>
      </c>
      <c r="BK117">
        <v>2.32589261814574</v>
      </c>
      <c r="BL117">
        <v>120</v>
      </c>
      <c r="BM117">
        <v>53</v>
      </c>
      <c r="BN117">
        <v>4.6638943835673103</v>
      </c>
      <c r="BO117">
        <v>30866.213225690601</v>
      </c>
      <c r="BP117" t="s">
        <v>691</v>
      </c>
      <c r="BQ117" t="str">
        <f>SUBSTITUTE(SUBSTITUTE(SUBSTITUTE(SUBSTITUTE(SUBSTITUTE(SUBSTITUTE(SUBSTITUTE(I117,"[",""),"]",""),"'",""),"M1-LOD-KS","לוד-כפרסבא (מטרו)"),"M1-KS-LOD","כפר סבא-לוד (מטרו)"),"M1-RA-RE","רעננה-רחובות (מטרו)"),"M1-RE-RA","רחובות-רעננה (מטרו)")</f>
        <v>כפר סבא-הרצליה (BRT), הרצליה-כפר סבא (BRT), רעננה-רחובות (מטרו), רחובות-רעננה (מטרו)</v>
      </c>
      <c r="BR117">
        <f>IF($AP117="ארצי",COUNTIFS($AP$2:$AP$143,"ארצי",$BK$2:$BK$143,"&gt;"&amp;$BK117)+1,COUNTIFS($AP$2:$AP$143,$AP117,$L$2:$L$143,$L117,$BK$2:$BK$143,"&gt;"&amp;$BK117)+1)</f>
        <v>37</v>
      </c>
    </row>
    <row r="118" spans="1:70" x14ac:dyDescent="0.25">
      <c r="A118">
        <v>694</v>
      </c>
      <c r="B118">
        <v>34.854493109240103</v>
      </c>
      <c r="C118">
        <v>32.0331496806117</v>
      </c>
      <c r="D118" t="s">
        <v>692</v>
      </c>
      <c r="E118" t="s">
        <v>693</v>
      </c>
      <c r="F118" t="s">
        <v>202</v>
      </c>
      <c r="G118" t="s">
        <v>203</v>
      </c>
      <c r="H118" t="s">
        <v>576</v>
      </c>
      <c r="I118" t="s">
        <v>577</v>
      </c>
      <c r="J118" t="s">
        <v>74</v>
      </c>
      <c r="K118" t="s">
        <v>75</v>
      </c>
      <c r="L118" t="s">
        <v>75</v>
      </c>
      <c r="M118" t="s">
        <v>139</v>
      </c>
      <c r="N118" t="s">
        <v>132</v>
      </c>
      <c r="O118">
        <v>44049.73</v>
      </c>
      <c r="P118">
        <v>27365.4</v>
      </c>
      <c r="Q118">
        <v>0.62123876809233503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2</v>
      </c>
      <c r="X118">
        <v>2</v>
      </c>
      <c r="Y118">
        <v>0</v>
      </c>
      <c r="Z118">
        <v>14844.5169159915</v>
      </c>
      <c r="AA118">
        <v>5203.9624803786901</v>
      </c>
      <c r="AB118">
        <v>28416.941095116999</v>
      </c>
      <c r="AC118">
        <v>11262.212060866301</v>
      </c>
      <c r="AD118">
        <v>18684.749996558101</v>
      </c>
      <c r="AE118">
        <v>8303.6080003932402</v>
      </c>
      <c r="AF118">
        <v>61946.208007666697</v>
      </c>
      <c r="AG118">
        <v>24769.782541638298</v>
      </c>
      <c r="AH118">
        <v>0</v>
      </c>
      <c r="AI118">
        <v>2</v>
      </c>
      <c r="AJ118">
        <v>0</v>
      </c>
      <c r="AK118">
        <v>2</v>
      </c>
      <c r="AL118">
        <v>24.2</v>
      </c>
      <c r="AM118">
        <v>0</v>
      </c>
      <c r="AN118" t="s">
        <v>103</v>
      </c>
      <c r="AO118" t="b">
        <v>0</v>
      </c>
      <c r="AP118" t="s">
        <v>103</v>
      </c>
      <c r="AQ118">
        <v>0</v>
      </c>
      <c r="AR118">
        <v>1</v>
      </c>
      <c r="AS118">
        <v>1.3634566506636501</v>
      </c>
      <c r="AT118">
        <v>1</v>
      </c>
      <c r="AU118">
        <v>5.7396320015621596</v>
      </c>
      <c r="AV118">
        <v>2.5162991897206202</v>
      </c>
      <c r="AW118">
        <v>2.2975133916541699</v>
      </c>
      <c r="AX118">
        <v>121</v>
      </c>
      <c r="AY118">
        <v>54</v>
      </c>
      <c r="AZ118">
        <v>4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2</v>
      </c>
      <c r="BG118">
        <v>0</v>
      </c>
      <c r="BH118">
        <v>0</v>
      </c>
      <c r="BI118">
        <v>2</v>
      </c>
      <c r="BJ118">
        <v>4</v>
      </c>
      <c r="BK118">
        <v>2.2975133916541699</v>
      </c>
      <c r="BL118">
        <v>121</v>
      </c>
      <c r="BM118">
        <v>54</v>
      </c>
      <c r="BN118">
        <v>4.6439432507760001</v>
      </c>
      <c r="BO118">
        <v>32205.067634843999</v>
      </c>
      <c r="BP118" t="s">
        <v>694</v>
      </c>
      <c r="BQ118" t="str">
        <f>SUBSTITUTE(SUBSTITUTE(SUBSTITUTE(SUBSTITUTE(SUBSTITUTE(SUBSTITUTE(SUBSTITUTE(I118,"[",""),"]",""),"'",""),"M1-LOD-KS","לוד-כפרסבא (מטרו)"),"M1-KS-LOD","כפר סבא-לוד (מטרו)"),"M1-RA-RE","רעננה-רחובות (מטרו)"),"M1-RE-RA","רחובות-רעננה (מטרו)")</f>
        <v>צומת בילו-צומת רעננה (רק"ל), צומת רעננה-צומת בילו (רק"ל), הרצליה-בת ים (מטרו), בת ים-הרצליה (מטרו)</v>
      </c>
      <c r="BR118">
        <f>IF($AP118="ארצי",COUNTIFS($AP$2:$AP$143,"ארצי",$BK$2:$BK$143,"&gt;"&amp;$BK118)+1,COUNTIFS($AP$2:$AP$143,$AP118,$L$2:$L$143,$L118,$BK$2:$BK$143,"&gt;"&amp;$BK118)+1)</f>
        <v>38</v>
      </c>
    </row>
    <row r="119" spans="1:70" x14ac:dyDescent="0.25">
      <c r="A119">
        <v>362</v>
      </c>
      <c r="B119">
        <v>34.829901811458797</v>
      </c>
      <c r="C119">
        <v>31.964780419339299</v>
      </c>
      <c r="D119" t="s">
        <v>695</v>
      </c>
      <c r="E119" t="s">
        <v>696</v>
      </c>
      <c r="F119" t="s">
        <v>569</v>
      </c>
      <c r="G119" t="s">
        <v>570</v>
      </c>
      <c r="H119" t="s">
        <v>697</v>
      </c>
      <c r="I119" t="s">
        <v>582</v>
      </c>
      <c r="J119" t="s">
        <v>74</v>
      </c>
      <c r="K119" t="s">
        <v>75</v>
      </c>
      <c r="L119" t="s">
        <v>75</v>
      </c>
      <c r="M119" t="s">
        <v>216</v>
      </c>
      <c r="N119" t="s">
        <v>132</v>
      </c>
      <c r="O119">
        <v>4837.68</v>
      </c>
      <c r="P119">
        <v>4.8076E-4</v>
      </c>
      <c r="Q119" s="1">
        <v>9.9378214350680402E-8</v>
      </c>
      <c r="R119">
        <v>3</v>
      </c>
      <c r="S119">
        <v>0</v>
      </c>
      <c r="T119">
        <v>0</v>
      </c>
      <c r="U119">
        <v>0</v>
      </c>
      <c r="V119">
        <v>0</v>
      </c>
      <c r="W119">
        <v>7</v>
      </c>
      <c r="X119">
        <v>0</v>
      </c>
      <c r="Y119">
        <v>0</v>
      </c>
      <c r="Z119">
        <v>8040.1884692534404</v>
      </c>
      <c r="AA119">
        <v>1760.4850863481299</v>
      </c>
      <c r="AB119">
        <v>14709.7210619538</v>
      </c>
      <c r="AC119">
        <v>5978.0012863370803</v>
      </c>
      <c r="AD119">
        <v>12568.9125595442</v>
      </c>
      <c r="AE119">
        <v>6186.8831828370203</v>
      </c>
      <c r="AF119">
        <v>35318.822090751601</v>
      </c>
      <c r="AG119">
        <v>13925.3695555222</v>
      </c>
      <c r="AH119">
        <v>0</v>
      </c>
      <c r="AI119">
        <v>2</v>
      </c>
      <c r="AJ119">
        <v>0</v>
      </c>
      <c r="AK119">
        <v>2</v>
      </c>
      <c r="AL119">
        <v>51.7</v>
      </c>
      <c r="AM119">
        <v>0</v>
      </c>
      <c r="AN119" t="s">
        <v>140</v>
      </c>
      <c r="AO119" t="b">
        <v>0</v>
      </c>
      <c r="AP119" t="s">
        <v>140</v>
      </c>
      <c r="AQ119">
        <v>0</v>
      </c>
      <c r="AR119">
        <v>1</v>
      </c>
      <c r="AS119">
        <v>2.0624117480937501</v>
      </c>
      <c r="AT119">
        <v>1</v>
      </c>
      <c r="AU119">
        <v>3.8821851407877102</v>
      </c>
      <c r="AV119">
        <v>2.4602607681963602</v>
      </c>
      <c r="AW119">
        <v>2.29684387151902</v>
      </c>
      <c r="AX119">
        <v>122</v>
      </c>
      <c r="AY119">
        <v>28</v>
      </c>
      <c r="AZ119">
        <v>10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6</v>
      </c>
      <c r="BG119">
        <v>0</v>
      </c>
      <c r="BH119">
        <v>0</v>
      </c>
      <c r="BI119">
        <v>6</v>
      </c>
      <c r="BJ119">
        <v>10</v>
      </c>
      <c r="BK119">
        <v>2.29684387151902</v>
      </c>
      <c r="BL119">
        <v>122</v>
      </c>
      <c r="BM119">
        <v>28</v>
      </c>
      <c r="BN119">
        <v>3.6846371375209999</v>
      </c>
      <c r="BO119">
        <v>31040.131583705701</v>
      </c>
      <c r="BP119" t="s">
        <v>698</v>
      </c>
      <c r="BQ119" t="str">
        <f>SUBSTITUTE(SUBSTITUTE(SUBSTITUTE(SUBSTITUTE(SUBSTITUTE(SUBSTITUTE(SUBSTITUTE(I119,"[",""),"]",""),"'",""),"M1-LOD-KS","לוד-כפרסבא (מטרו)"),"M1-KS-LOD","כפר סבא-לוד (מטרו)"),"M1-RA-RE","רעננה-רחובות (מטרו)"),"M1-RE-RA","רחובות-רעננה (מטרו)")</f>
        <v>אסף הרופא-חוף ראשל"צ (רק"ל), אסף הרופא-מתחם ה-1000 (רק"ל), תחנה מרכזית ראשל"צ-לוד (BRT), לוד-תחנה מרכזית ראשל"צ (BRT), מתחם ה-1000-אסף הרופא (רק"ל), חוף ראשל"צ-אסף הרופא (רק"ל)</v>
      </c>
      <c r="BR119">
        <f>IF($AP119="ארצי",COUNTIFS($AP$2:$AP$143,"ארצי",$BK$2:$BK$143,"&gt;"&amp;$BK119)+1,COUNTIFS($AP$2:$AP$143,$AP119,$L$2:$L$143,$L119,$BK$2:$BK$143,"&gt;"&amp;$BK119)+1)</f>
        <v>14</v>
      </c>
    </row>
    <row r="120" spans="1:70" x14ac:dyDescent="0.25">
      <c r="A120">
        <v>357</v>
      </c>
      <c r="B120">
        <v>34.841101763501598</v>
      </c>
      <c r="C120">
        <v>31.960413271153001</v>
      </c>
      <c r="D120" t="s">
        <v>762</v>
      </c>
      <c r="E120" t="s">
        <v>763</v>
      </c>
      <c r="F120" t="s">
        <v>728</v>
      </c>
      <c r="G120" t="s">
        <v>729</v>
      </c>
      <c r="H120" t="s">
        <v>730</v>
      </c>
      <c r="I120" t="s">
        <v>731</v>
      </c>
      <c r="J120" t="s">
        <v>74</v>
      </c>
      <c r="K120" t="s">
        <v>75</v>
      </c>
      <c r="L120" t="s">
        <v>75</v>
      </c>
      <c r="M120" t="s">
        <v>216</v>
      </c>
      <c r="N120" t="s">
        <v>132</v>
      </c>
      <c r="O120">
        <v>14313.4299999999</v>
      </c>
      <c r="P120">
        <v>257.569801869</v>
      </c>
      <c r="Q120">
        <v>1.7994974081614198E-2</v>
      </c>
      <c r="R120">
        <v>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2</v>
      </c>
      <c r="Y120">
        <v>0</v>
      </c>
      <c r="Z120">
        <v>5587.5392569436299</v>
      </c>
      <c r="AA120">
        <v>8668.4010480943798</v>
      </c>
      <c r="AB120">
        <v>9911.8792049508393</v>
      </c>
      <c r="AC120">
        <v>9161.9174255025391</v>
      </c>
      <c r="AD120">
        <v>7590.5249868663996</v>
      </c>
      <c r="AE120">
        <v>3467.2434554404599</v>
      </c>
      <c r="AF120">
        <v>23089.943448760801</v>
      </c>
      <c r="AG120">
        <v>21297.5619290373</v>
      </c>
      <c r="AH120">
        <v>0</v>
      </c>
      <c r="AI120">
        <v>2</v>
      </c>
      <c r="AJ120">
        <v>0</v>
      </c>
      <c r="AK120">
        <v>2</v>
      </c>
      <c r="AL120">
        <v>30.8</v>
      </c>
      <c r="AM120">
        <v>0</v>
      </c>
      <c r="AN120" t="s">
        <v>103</v>
      </c>
      <c r="AO120" t="b">
        <v>0</v>
      </c>
      <c r="AP120" t="s">
        <v>103</v>
      </c>
      <c r="AQ120">
        <v>0</v>
      </c>
      <c r="AR120">
        <v>1</v>
      </c>
      <c r="AS120">
        <v>1.5312058740468699</v>
      </c>
      <c r="AT120">
        <v>1</v>
      </c>
      <c r="AU120">
        <v>3.26138733119013</v>
      </c>
      <c r="AV120">
        <v>2.0088456211614001</v>
      </c>
      <c r="AW120">
        <v>1.8519468643885799</v>
      </c>
      <c r="AX120">
        <v>139</v>
      </c>
      <c r="AY120">
        <v>63</v>
      </c>
      <c r="AZ120">
        <v>6</v>
      </c>
      <c r="BA120">
        <v>0</v>
      </c>
      <c r="BB120">
        <v>0</v>
      </c>
      <c r="BC120">
        <v>2</v>
      </c>
      <c r="BD120">
        <v>0</v>
      </c>
      <c r="BE120">
        <v>0</v>
      </c>
      <c r="BF120">
        <v>2</v>
      </c>
      <c r="BG120">
        <v>0</v>
      </c>
      <c r="BH120">
        <v>0</v>
      </c>
      <c r="BI120">
        <v>4</v>
      </c>
      <c r="BJ120">
        <v>6</v>
      </c>
      <c r="BK120">
        <v>1.8519468643885799</v>
      </c>
      <c r="BL120">
        <v>139</v>
      </c>
      <c r="BM120">
        <v>63</v>
      </c>
      <c r="BN120">
        <v>4.1557437184260797</v>
      </c>
      <c r="BO120">
        <v>21656.038232981999</v>
      </c>
      <c r="BP120" t="s">
        <v>787</v>
      </c>
      <c r="BQ120" t="str">
        <f>SUBSTITUTE(SUBSTITUTE(SUBSTITUTE(SUBSTITUTE(SUBSTITUTE(SUBSTITUTE(SUBSTITUTE(I120,"[",""),"]",""),"'",""),"M1-LOD-KS","לוד-כפרסבא (מטרו)"),"M1-KS-LOD","כפר סבא-לוד (מטרו)"),"M1-RA-RE","רעננה-רחובות (מטרו)"),"M1-RE-RA","רחובות-רעננה (מטרו)")</f>
        <v>אסף הרופא-אירפורט סיטי (BRT), אירפורא סיטי-אסף הרופא (BRT), לוד-כפרסבא (מטרו), רצועת הנופש-צומת חולון (BRT), צומת חולון-רצועת הנופש (BRT), כפר סבא-לוד (מטרו)</v>
      </c>
      <c r="BR120">
        <f>IF($AP120="ארצי",COUNTIFS($AP$2:$AP$143,"ארצי",$BK$2:$BK$143,"&gt;"&amp;$BK120)+1,COUNTIFS($AP$2:$AP$143,$AP120,$L$2:$L$143,$L120,$BK$2:$BK$143,"&gt;"&amp;$BK120)+1)</f>
        <v>46</v>
      </c>
    </row>
    <row r="121" spans="1:70" x14ac:dyDescent="0.25">
      <c r="A121">
        <v>30</v>
      </c>
      <c r="B121">
        <v>34.875966340717802</v>
      </c>
      <c r="C121">
        <v>32.324653740972799</v>
      </c>
      <c r="D121" t="s">
        <v>703</v>
      </c>
      <c r="E121" t="s">
        <v>704</v>
      </c>
      <c r="F121" t="s">
        <v>127</v>
      </c>
      <c r="G121" t="s">
        <v>128</v>
      </c>
      <c r="H121" t="s">
        <v>705</v>
      </c>
      <c r="I121" t="s">
        <v>572</v>
      </c>
      <c r="J121" t="s">
        <v>74</v>
      </c>
      <c r="K121" t="s">
        <v>75</v>
      </c>
      <c r="L121" t="s">
        <v>75</v>
      </c>
      <c r="M121" t="s">
        <v>131</v>
      </c>
      <c r="N121" t="s">
        <v>132</v>
      </c>
      <c r="O121">
        <v>18579.27</v>
      </c>
      <c r="P121">
        <v>16195.19</v>
      </c>
      <c r="Q121">
        <v>0.87168064191973005</v>
      </c>
      <c r="R121">
        <v>2</v>
      </c>
      <c r="S121">
        <v>0</v>
      </c>
      <c r="T121">
        <v>0</v>
      </c>
      <c r="U121">
        <v>0</v>
      </c>
      <c r="V121">
        <v>0</v>
      </c>
      <c r="W121">
        <v>2</v>
      </c>
      <c r="X121">
        <v>0</v>
      </c>
      <c r="Y121">
        <v>0</v>
      </c>
      <c r="Z121">
        <v>1370.81758896973</v>
      </c>
      <c r="AA121">
        <v>4490.5079934222003</v>
      </c>
      <c r="AB121">
        <v>6333.7121998262801</v>
      </c>
      <c r="AC121">
        <v>7331.9416144970301</v>
      </c>
      <c r="AD121">
        <v>7267.9542848949504</v>
      </c>
      <c r="AE121">
        <v>4526.1223383697197</v>
      </c>
      <c r="AF121">
        <v>14972.484073690899</v>
      </c>
      <c r="AG121">
        <v>16348.571946288899</v>
      </c>
      <c r="AH121">
        <v>0</v>
      </c>
      <c r="AI121">
        <v>2</v>
      </c>
      <c r="AJ121">
        <v>0</v>
      </c>
      <c r="AK121">
        <v>2</v>
      </c>
      <c r="AL121">
        <v>19.8</v>
      </c>
      <c r="AM121">
        <v>0</v>
      </c>
      <c r="AN121" t="s">
        <v>140</v>
      </c>
      <c r="AO121" t="b">
        <v>0</v>
      </c>
      <c r="AP121" t="s">
        <v>140</v>
      </c>
      <c r="AQ121">
        <v>0</v>
      </c>
      <c r="AR121">
        <v>1</v>
      </c>
      <c r="AS121">
        <v>1.2516238350748301</v>
      </c>
      <c r="AT121">
        <v>1</v>
      </c>
      <c r="AU121">
        <v>6.7469074496581802</v>
      </c>
      <c r="AV121">
        <v>1.7005771402813601</v>
      </c>
      <c r="AW121">
        <v>2.27096761093232</v>
      </c>
      <c r="AX121">
        <v>124</v>
      </c>
      <c r="AY121">
        <v>30</v>
      </c>
      <c r="AZ121">
        <v>4</v>
      </c>
      <c r="BA121">
        <v>0</v>
      </c>
      <c r="BB121">
        <v>0</v>
      </c>
      <c r="BC121">
        <v>4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4</v>
      </c>
      <c r="BJ121">
        <v>4</v>
      </c>
      <c r="BK121">
        <v>2.27096761093232</v>
      </c>
      <c r="BL121">
        <v>124</v>
      </c>
      <c r="BM121">
        <v>30</v>
      </c>
      <c r="BN121">
        <v>4.2690286460838802</v>
      </c>
      <c r="BO121">
        <v>15247.701648210499</v>
      </c>
      <c r="BP121" t="s">
        <v>706</v>
      </c>
      <c r="BQ121" t="str">
        <f>SUBSTITUTE(SUBSTITUTE(SUBSTITUTE(SUBSTITUTE(SUBSTITUTE(SUBSTITUTE(SUBSTITUTE(I121,"[",""),"]",""),"'",""),"M1-LOD-KS","לוד-כפרסבא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הרצליה-נתניה מזרח (רק"ל), נתניה-כפ"ס דרך טייבה/קלאנסווה (BRT), נתניה מזרח-הרצליה (רק"ל)</v>
      </c>
      <c r="BR121">
        <f>IF($AP121="ארצי",COUNTIFS($AP$2:$AP$143,"ארצי",$BK$2:$BK$143,"&gt;"&amp;$BK121)+1,COUNTIFS($AP$2:$AP$143,$AP121,$L$2:$L$143,$L121,$BK$2:$BK$143,"&gt;"&amp;$BK121)+1)</f>
        <v>15</v>
      </c>
    </row>
    <row r="122" spans="1:70" x14ac:dyDescent="0.25">
      <c r="A122">
        <v>364</v>
      </c>
      <c r="B122">
        <v>34.841431272299502</v>
      </c>
      <c r="C122">
        <v>31.9687359927273</v>
      </c>
      <c r="D122" t="s">
        <v>707</v>
      </c>
      <c r="E122" t="s">
        <v>708</v>
      </c>
      <c r="F122" t="s">
        <v>709</v>
      </c>
      <c r="G122" t="s">
        <v>710</v>
      </c>
      <c r="H122" t="s">
        <v>711</v>
      </c>
      <c r="I122" t="s">
        <v>712</v>
      </c>
      <c r="J122" t="s">
        <v>74</v>
      </c>
      <c r="K122" t="s">
        <v>75</v>
      </c>
      <c r="L122" t="s">
        <v>75</v>
      </c>
      <c r="M122" t="s">
        <v>216</v>
      </c>
      <c r="N122" t="s">
        <v>132</v>
      </c>
      <c r="O122">
        <v>28168.229200000002</v>
      </c>
      <c r="P122">
        <v>24522.74</v>
      </c>
      <c r="Q122">
        <v>0.87058152736132899</v>
      </c>
      <c r="R122">
        <v>5.5</v>
      </c>
      <c r="S122">
        <v>0</v>
      </c>
      <c r="T122">
        <v>0</v>
      </c>
      <c r="U122">
        <v>0</v>
      </c>
      <c r="V122">
        <v>0</v>
      </c>
      <c r="W122">
        <v>1.5</v>
      </c>
      <c r="X122">
        <v>2</v>
      </c>
      <c r="Y122">
        <v>0</v>
      </c>
      <c r="Z122">
        <v>4407.79878930019</v>
      </c>
      <c r="AA122">
        <v>5038.8671165585101</v>
      </c>
      <c r="AB122">
        <v>9110.0860699164605</v>
      </c>
      <c r="AC122">
        <v>6772.9484160974198</v>
      </c>
      <c r="AD122">
        <v>6566.4732895949301</v>
      </c>
      <c r="AE122">
        <v>4166.2764359960102</v>
      </c>
      <c r="AF122">
        <v>20084.358148811501</v>
      </c>
      <c r="AG122">
        <v>15978.091968651899</v>
      </c>
      <c r="AH122">
        <v>0</v>
      </c>
      <c r="AI122">
        <v>2</v>
      </c>
      <c r="AJ122">
        <v>0</v>
      </c>
      <c r="AK122">
        <v>3</v>
      </c>
      <c r="AL122">
        <v>49.8</v>
      </c>
      <c r="AM122">
        <v>0</v>
      </c>
      <c r="AN122" t="s">
        <v>103</v>
      </c>
      <c r="AO122" t="b">
        <v>0</v>
      </c>
      <c r="AP122" t="s">
        <v>103</v>
      </c>
      <c r="AQ122">
        <v>0</v>
      </c>
      <c r="AR122">
        <v>1</v>
      </c>
      <c r="AS122">
        <v>2.0141203049985799</v>
      </c>
      <c r="AT122">
        <v>1</v>
      </c>
      <c r="AU122">
        <v>4.7538983006795297</v>
      </c>
      <c r="AV122">
        <v>1.7752178517505399</v>
      </c>
      <c r="AW122">
        <v>2.2558052580962502</v>
      </c>
      <c r="AX122">
        <v>125</v>
      </c>
      <c r="AY122">
        <v>55</v>
      </c>
      <c r="AZ122">
        <v>9</v>
      </c>
      <c r="BA122">
        <v>0</v>
      </c>
      <c r="BB122">
        <v>0</v>
      </c>
      <c r="BC122">
        <v>2</v>
      </c>
      <c r="BD122">
        <v>0</v>
      </c>
      <c r="BE122">
        <v>0</v>
      </c>
      <c r="BF122">
        <v>4</v>
      </c>
      <c r="BG122">
        <v>0</v>
      </c>
      <c r="BH122">
        <v>0</v>
      </c>
      <c r="BI122">
        <v>6</v>
      </c>
      <c r="BJ122">
        <v>9</v>
      </c>
      <c r="BK122">
        <v>2.2558052580962502</v>
      </c>
      <c r="BL122">
        <v>125</v>
      </c>
      <c r="BM122">
        <v>55</v>
      </c>
      <c r="BN122">
        <v>4.4497595458554402</v>
      </c>
      <c r="BO122">
        <v>16799.345204683799</v>
      </c>
      <c r="BP122" t="s">
        <v>713</v>
      </c>
      <c r="BQ122" t="str">
        <f>SUBSTITUTE(SUBSTITUTE(SUBSTITUTE(SUBSTITUTE(SUBSTITUTE(SUBSTITUTE(SUBSTITUTE(I122,"[",""),"]",""),"'",""),"M1-LOD-KS","לוד-כפרסבא (מטרו)"),"M1-KS-LOD","כפר סבא-לוד (מטרו)"),"M1-RA-RE","רעננה-רחובות (מטרו)"),"M1-RE-RA","רחובות-רעננה (מטרו)")</f>
        <v>אסף הרופא-אירפורט סיטי (BRT), אירפורא סיטי-אסף הרופא (BRT), לוד-כפרסבא (מטרו), רצועת הנופש-צומת חולון (BRT), צומת חולון-רצועת הנופש (BRT), כפר סבא-לוד (מטרו), מתחם ה-1000-אסף הרופא (רק"ל), חוף ראשל"צ-אסף הרופא (רק"ל)</v>
      </c>
      <c r="BR122">
        <f>IF($AP122="ארצי",COUNTIFS($AP$2:$AP$143,"ארצי",$BK$2:$BK$143,"&gt;"&amp;$BK122)+1,COUNTIFS($AP$2:$AP$143,$AP122,$L$2:$L$143,$L122,$BK$2:$BK$143,"&gt;"&amp;$BK122)+1)</f>
        <v>39</v>
      </c>
    </row>
    <row r="123" spans="1:70" x14ac:dyDescent="0.25">
      <c r="A123">
        <v>9</v>
      </c>
      <c r="B123">
        <v>34.964212276113599</v>
      </c>
      <c r="C123">
        <v>32.315090065588102</v>
      </c>
      <c r="D123" t="s">
        <v>714</v>
      </c>
      <c r="E123" t="s">
        <v>715</v>
      </c>
      <c r="F123" t="s">
        <v>127</v>
      </c>
      <c r="G123" t="s">
        <v>128</v>
      </c>
      <c r="H123" t="s">
        <v>144</v>
      </c>
      <c r="I123" t="s">
        <v>145</v>
      </c>
      <c r="J123" t="s">
        <v>74</v>
      </c>
      <c r="K123" t="s">
        <v>75</v>
      </c>
      <c r="L123" t="s">
        <v>75</v>
      </c>
      <c r="M123" t="s">
        <v>131</v>
      </c>
      <c r="N123" t="s">
        <v>132</v>
      </c>
      <c r="O123">
        <v>2409.87</v>
      </c>
      <c r="P123" s="1">
        <v>9.9500000000000006E-5</v>
      </c>
      <c r="Q123" s="1">
        <v>4.1288534236286601E-8</v>
      </c>
      <c r="R123">
        <v>1</v>
      </c>
      <c r="S123">
        <v>0</v>
      </c>
      <c r="T123">
        <v>0</v>
      </c>
      <c r="U123">
        <v>0</v>
      </c>
      <c r="V123">
        <v>0</v>
      </c>
      <c r="W123">
        <v>1</v>
      </c>
      <c r="X123">
        <v>0</v>
      </c>
      <c r="Y123">
        <v>0</v>
      </c>
      <c r="Z123">
        <v>434.02008636058503</v>
      </c>
      <c r="AA123">
        <v>176.222845281996</v>
      </c>
      <c r="AB123">
        <v>1039.2961226345799</v>
      </c>
      <c r="AC123">
        <v>403.24410060411401</v>
      </c>
      <c r="AD123">
        <v>1290.8683036075099</v>
      </c>
      <c r="AE123">
        <v>473.62890073630501</v>
      </c>
      <c r="AF123">
        <v>2764.1845126026801</v>
      </c>
      <c r="AG123">
        <v>1053.0958466224099</v>
      </c>
      <c r="AH123">
        <v>0</v>
      </c>
      <c r="AI123">
        <v>2</v>
      </c>
      <c r="AJ123">
        <v>0</v>
      </c>
      <c r="AK123">
        <v>2</v>
      </c>
      <c r="AL123">
        <v>9.9</v>
      </c>
      <c r="AM123">
        <v>0</v>
      </c>
      <c r="AN123" t="s">
        <v>133</v>
      </c>
      <c r="AO123" t="b">
        <v>0</v>
      </c>
      <c r="AP123" t="s">
        <v>133</v>
      </c>
      <c r="AQ123">
        <v>0</v>
      </c>
      <c r="AR123">
        <v>1</v>
      </c>
      <c r="AS123">
        <v>1</v>
      </c>
      <c r="AT123">
        <v>1</v>
      </c>
      <c r="AU123">
        <v>2.7382424819776801</v>
      </c>
      <c r="AV123">
        <v>1.0342178487685201</v>
      </c>
      <c r="AW123">
        <v>2.2467028484796798</v>
      </c>
      <c r="AX123">
        <v>126</v>
      </c>
      <c r="AY123">
        <v>26</v>
      </c>
      <c r="AZ123">
        <v>2</v>
      </c>
      <c r="BA123">
        <v>0</v>
      </c>
      <c r="BB123">
        <v>0</v>
      </c>
      <c r="BC123">
        <v>2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2</v>
      </c>
      <c r="BJ123">
        <v>2</v>
      </c>
      <c r="BK123">
        <v>2.2467028484796798</v>
      </c>
      <c r="BL123">
        <v>126</v>
      </c>
      <c r="BM123">
        <v>26</v>
      </c>
      <c r="BN123">
        <v>3.3819936152697001</v>
      </c>
      <c r="BO123">
        <v>1395.3135798184601</v>
      </c>
      <c r="BP123" t="s">
        <v>716</v>
      </c>
      <c r="BQ123" t="str">
        <f>SUBSTITUTE(SUBSTITUTE(SUBSTITUTE(SUBSTITUTE(SUBSTITUTE(SUBSTITUTE(SUBSTITUTE(I123,"[",""),"]",""),"'",""),"M1-LOD-KS","לוד-כפרסבא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123">
        <f>IF($AP123="ארצי",COUNTIFS($AP$2:$AP$143,"ארצי",$BK$2:$BK$143,"&gt;"&amp;$BK123)+1,COUNTIFS($AP$2:$AP$143,$AP123,$L$2:$L$143,$L123,$BK$2:$BK$143,"&gt;"&amp;$BK123)+1)</f>
        <v>26</v>
      </c>
    </row>
    <row r="124" spans="1:70" x14ac:dyDescent="0.25">
      <c r="A124">
        <v>420</v>
      </c>
      <c r="B124">
        <v>34.903416512923798</v>
      </c>
      <c r="C124">
        <v>32.083232770157103</v>
      </c>
      <c r="D124" t="s">
        <v>717</v>
      </c>
      <c r="E124" t="s">
        <v>718</v>
      </c>
      <c r="F124" t="s">
        <v>689</v>
      </c>
      <c r="G124" t="s">
        <v>690</v>
      </c>
      <c r="H124" t="s">
        <v>719</v>
      </c>
      <c r="I124" t="s">
        <v>720</v>
      </c>
      <c r="J124" t="s">
        <v>74</v>
      </c>
      <c r="K124" t="s">
        <v>75</v>
      </c>
      <c r="L124" t="s">
        <v>75</v>
      </c>
      <c r="M124" t="s">
        <v>216</v>
      </c>
      <c r="N124" t="s">
        <v>132</v>
      </c>
      <c r="O124">
        <v>46345.53</v>
      </c>
      <c r="P124">
        <v>7874.6299999999901</v>
      </c>
      <c r="Q124">
        <v>0.16991131615066199</v>
      </c>
      <c r="R124">
        <v>1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2</v>
      </c>
      <c r="Y124">
        <v>0</v>
      </c>
      <c r="Z124">
        <v>16196.7478418136</v>
      </c>
      <c r="AA124">
        <v>4161.8403265616898</v>
      </c>
      <c r="AB124">
        <v>30974.8870111953</v>
      </c>
      <c r="AC124">
        <v>7116.2392004825597</v>
      </c>
      <c r="AD124">
        <v>22549.648097366298</v>
      </c>
      <c r="AE124">
        <v>5056.1933700901</v>
      </c>
      <c r="AF124">
        <v>69721.282950375404</v>
      </c>
      <c r="AG124">
        <v>16334.2728971343</v>
      </c>
      <c r="AH124">
        <v>0</v>
      </c>
      <c r="AI124">
        <v>2</v>
      </c>
      <c r="AJ124">
        <v>0</v>
      </c>
      <c r="AK124">
        <v>2</v>
      </c>
      <c r="AL124">
        <v>17.600000000000001</v>
      </c>
      <c r="AM124">
        <v>0</v>
      </c>
      <c r="AN124" t="s">
        <v>103</v>
      </c>
      <c r="AO124" t="b">
        <v>0</v>
      </c>
      <c r="AP124" t="s">
        <v>103</v>
      </c>
      <c r="AQ124">
        <v>0</v>
      </c>
      <c r="AR124">
        <v>1</v>
      </c>
      <c r="AS124">
        <v>1.19570742728042</v>
      </c>
      <c r="AT124">
        <v>1</v>
      </c>
      <c r="AU124">
        <v>5.8516384238401704</v>
      </c>
      <c r="AV124">
        <v>2.26647472038966</v>
      </c>
      <c r="AW124">
        <v>2.2224767356145998</v>
      </c>
      <c r="AX124">
        <v>127</v>
      </c>
      <c r="AY124">
        <v>56</v>
      </c>
      <c r="AZ124">
        <v>3</v>
      </c>
      <c r="BA124">
        <v>1</v>
      </c>
      <c r="BB124">
        <v>2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3</v>
      </c>
      <c r="BJ124">
        <v>3</v>
      </c>
      <c r="BK124">
        <v>2.2224767356145998</v>
      </c>
      <c r="BL124">
        <v>127</v>
      </c>
      <c r="BM124">
        <v>56</v>
      </c>
      <c r="BN124">
        <v>4.66600785304471</v>
      </c>
      <c r="BO124">
        <v>27011.674907782501</v>
      </c>
      <c r="BP124" t="s">
        <v>721</v>
      </c>
      <c r="BQ124" t="str">
        <f>SUBSTITUTE(SUBSTITUTE(SUBSTITUTE(SUBSTITUTE(SUBSTITUTE(SUBSTITUTE(SUBSTITUTE(I124,"[",""),"]",""),"'",""),"M1-LOD-KS","לוד-כפרסבא (מטרו)"),"M1-KS-LOD","כפר סבא-לוד (מטרו)"),"M1-RA-RE","רעננה-רחובות (מטרו)"),"M1-RE-RA","רחובות-רעננה (מטרו)")</f>
        <v>אלעד-פ"ת (BRT), וולפסון-סגולה (מטרו), סגולה-וולפסון (מטרו)</v>
      </c>
      <c r="BR124">
        <f>IF($AP124="ארצי",COUNTIFS($AP$2:$AP$143,"ארצי",$BK$2:$BK$143,"&gt;"&amp;$BK124)+1,COUNTIFS($AP$2:$AP$143,$AP124,$L$2:$L$143,$L124,$BK$2:$BK$143,"&gt;"&amp;$BK124)+1)</f>
        <v>40</v>
      </c>
    </row>
    <row r="125" spans="1:70" x14ac:dyDescent="0.25">
      <c r="A125">
        <v>361</v>
      </c>
      <c r="B125">
        <v>34.841828761202997</v>
      </c>
      <c r="C125">
        <v>31.948934403293801</v>
      </c>
      <c r="D125" t="s">
        <v>726</v>
      </c>
      <c r="E125" t="s">
        <v>727</v>
      </c>
      <c r="F125" t="s">
        <v>728</v>
      </c>
      <c r="G125" t="s">
        <v>729</v>
      </c>
      <c r="H125" t="s">
        <v>730</v>
      </c>
      <c r="I125" t="s">
        <v>731</v>
      </c>
      <c r="J125" t="s">
        <v>74</v>
      </c>
      <c r="K125" t="s">
        <v>75</v>
      </c>
      <c r="L125" t="s">
        <v>75</v>
      </c>
      <c r="M125" t="s">
        <v>216</v>
      </c>
      <c r="N125" t="s">
        <v>132</v>
      </c>
      <c r="O125">
        <v>25690.23</v>
      </c>
      <c r="P125">
        <v>285.95299999999997</v>
      </c>
      <c r="Q125">
        <v>1.11308073146873E-2</v>
      </c>
      <c r="R125">
        <v>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2</v>
      </c>
      <c r="Y125">
        <v>0</v>
      </c>
      <c r="Z125">
        <v>7767.4585906026996</v>
      </c>
      <c r="AA125">
        <v>4803.7916328579204</v>
      </c>
      <c r="AB125">
        <v>14059.8949264366</v>
      </c>
      <c r="AC125">
        <v>6641.3892191464802</v>
      </c>
      <c r="AD125">
        <v>9586.4489148413195</v>
      </c>
      <c r="AE125">
        <v>3845.0026359264398</v>
      </c>
      <c r="AF125">
        <v>31413.8024318807</v>
      </c>
      <c r="AG125">
        <v>15290.183487930801</v>
      </c>
      <c r="AH125">
        <v>0</v>
      </c>
      <c r="AI125">
        <v>2</v>
      </c>
      <c r="AJ125">
        <v>0</v>
      </c>
      <c r="AK125">
        <v>2</v>
      </c>
      <c r="AL125">
        <v>30.8</v>
      </c>
      <c r="AM125">
        <v>0</v>
      </c>
      <c r="AN125" t="s">
        <v>103</v>
      </c>
      <c r="AO125" t="b">
        <v>0</v>
      </c>
      <c r="AP125" t="s">
        <v>103</v>
      </c>
      <c r="AQ125">
        <v>0</v>
      </c>
      <c r="AR125">
        <v>1</v>
      </c>
      <c r="AS125">
        <v>1.5312058740468699</v>
      </c>
      <c r="AT125">
        <v>1</v>
      </c>
      <c r="AU125">
        <v>4.5508893923653702</v>
      </c>
      <c r="AV125">
        <v>1.85774374701312</v>
      </c>
      <c r="AW125">
        <v>2.0407911499528102</v>
      </c>
      <c r="AX125">
        <v>129</v>
      </c>
      <c r="AY125">
        <v>57</v>
      </c>
      <c r="AZ125">
        <v>6</v>
      </c>
      <c r="BA125">
        <v>0</v>
      </c>
      <c r="BB125">
        <v>0</v>
      </c>
      <c r="BC125">
        <v>2</v>
      </c>
      <c r="BD125">
        <v>0</v>
      </c>
      <c r="BE125">
        <v>0</v>
      </c>
      <c r="BF125">
        <v>2</v>
      </c>
      <c r="BG125">
        <v>0</v>
      </c>
      <c r="BH125">
        <v>0</v>
      </c>
      <c r="BI125">
        <v>4</v>
      </c>
      <c r="BJ125">
        <v>6</v>
      </c>
      <c r="BK125">
        <v>2.0407911499528102</v>
      </c>
      <c r="BL125">
        <v>129</v>
      </c>
      <c r="BM125">
        <v>57</v>
      </c>
      <c r="BN125">
        <v>4.4097679924439896</v>
      </c>
      <c r="BO125">
        <v>18514.907276720802</v>
      </c>
      <c r="BP125" t="s">
        <v>788</v>
      </c>
      <c r="BQ125" t="str">
        <f>SUBSTITUTE(SUBSTITUTE(SUBSTITUTE(SUBSTITUTE(SUBSTITUTE(SUBSTITUTE(SUBSTITUTE(I125,"[",""),"]",""),"'",""),"M1-LOD-KS","לוד-כפרסבא (מטרו)"),"M1-KS-LOD","כפר סבא-לוד (מטרו)"),"M1-RA-RE","רעננה-רחובות (מטרו)"),"M1-RE-RA","רחובות-רעננה (מטרו)")</f>
        <v>אסף הרופא-אירפורט סיטי (BRT), אירפורא סיטי-אסף הרופא (BRT), לוד-כפרסבא (מטרו), רצועת הנופש-צומת חולון (BRT), צומת חולון-רצועת הנופש (BRT), כפר סבא-לוד (מטרו)</v>
      </c>
      <c r="BR125">
        <f>IF($AP125="ארצי",COUNTIFS($AP$2:$AP$143,"ארצי",$BK$2:$BK$143,"&gt;"&amp;$BK125)+1,COUNTIFS($AP$2:$AP$143,$AP125,$L$2:$L$143,$L125,$BK$2:$BK$143,"&gt;"&amp;$BK125)+1)</f>
        <v>41</v>
      </c>
    </row>
    <row r="126" spans="1:70" x14ac:dyDescent="0.25">
      <c r="A126">
        <v>369</v>
      </c>
      <c r="B126">
        <v>34.807670988170699</v>
      </c>
      <c r="C126">
        <v>31.9808709962265</v>
      </c>
      <c r="D126" t="s">
        <v>772</v>
      </c>
      <c r="E126" t="s">
        <v>773</v>
      </c>
      <c r="F126" t="s">
        <v>313</v>
      </c>
      <c r="G126" t="s">
        <v>314</v>
      </c>
      <c r="H126" t="s">
        <v>479</v>
      </c>
      <c r="I126" t="s">
        <v>480</v>
      </c>
      <c r="J126" t="s">
        <v>74</v>
      </c>
      <c r="K126" t="s">
        <v>75</v>
      </c>
      <c r="L126" t="s">
        <v>75</v>
      </c>
      <c r="M126" t="s">
        <v>216</v>
      </c>
      <c r="N126" t="s">
        <v>132</v>
      </c>
      <c r="O126">
        <v>15925.35</v>
      </c>
      <c r="P126">
        <v>6089.62</v>
      </c>
      <c r="Q126">
        <v>0.38238531649225899</v>
      </c>
      <c r="R126">
        <v>2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2</v>
      </c>
      <c r="Y126">
        <v>0</v>
      </c>
      <c r="Z126">
        <v>6995.09182208731</v>
      </c>
      <c r="AA126">
        <v>2970.2188174589901</v>
      </c>
      <c r="AB126">
        <v>13510.303686060501</v>
      </c>
      <c r="AC126">
        <v>6300.2356215883201</v>
      </c>
      <c r="AD126">
        <v>16020.0444827867</v>
      </c>
      <c r="AE126">
        <v>7167.8405916924303</v>
      </c>
      <c r="AF126">
        <v>36525.439990934603</v>
      </c>
      <c r="AG126">
        <v>16438.2950307397</v>
      </c>
      <c r="AH126">
        <v>0</v>
      </c>
      <c r="AI126">
        <v>2</v>
      </c>
      <c r="AJ126">
        <v>0</v>
      </c>
      <c r="AK126">
        <v>2</v>
      </c>
      <c r="AL126">
        <v>22</v>
      </c>
      <c r="AM126">
        <v>0</v>
      </c>
      <c r="AN126" t="s">
        <v>103</v>
      </c>
      <c r="AO126" t="b">
        <v>0</v>
      </c>
      <c r="AP126" t="s">
        <v>103</v>
      </c>
      <c r="AQ126">
        <v>0</v>
      </c>
      <c r="AR126">
        <v>1</v>
      </c>
      <c r="AS126">
        <v>1.30754024286924</v>
      </c>
      <c r="AT126">
        <v>1</v>
      </c>
      <c r="AU126">
        <v>3.4966495638333299</v>
      </c>
      <c r="AV126">
        <v>1.95110535841718</v>
      </c>
      <c r="AW126">
        <v>1.70843530960423</v>
      </c>
      <c r="AX126">
        <v>143</v>
      </c>
      <c r="AY126">
        <v>67</v>
      </c>
      <c r="AZ126">
        <v>4</v>
      </c>
      <c r="BA126">
        <v>0</v>
      </c>
      <c r="BB126">
        <v>0</v>
      </c>
      <c r="BC126">
        <v>2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2</v>
      </c>
      <c r="BJ126">
        <v>4</v>
      </c>
      <c r="BK126">
        <v>1.70843530960423</v>
      </c>
      <c r="BL126">
        <v>143</v>
      </c>
      <c r="BM126">
        <v>67</v>
      </c>
      <c r="BN126">
        <v>4.2020889858361601</v>
      </c>
      <c r="BO126">
        <v>20455.724022778701</v>
      </c>
      <c r="BP126" t="s">
        <v>791</v>
      </c>
      <c r="BQ126" t="str">
        <f>SUBSTITUTE(SUBSTITUTE(SUBSTITUTE(SUBSTITUTE(SUBSTITUTE(SUBSTITUTE(SUBSTITUTE(I126,"[",""),"]",""),"'",""),"M1-LOD-KS","לוד-כפרסבא (מטרו)"),"M1-KS-LOD","כפר סבא-לוד (מטרו)"),"M1-RA-RE","רעננה-רחובות (מטרו)"),"M1-RE-RA","רחובות-רעננה (מטרו)")</f>
        <v>לוד-כפרסבא (מטרו), רצועת הנופש-צומת חולון (BRT), צומת חולון-רצועת הנופש (BRT), כפר סבא-לוד (מטרו)</v>
      </c>
      <c r="BR126">
        <f>IF($AP126="ארצי",COUNTIFS($AP$2:$AP$143,"ארצי",$BK$2:$BK$143,"&gt;"&amp;$BK126)+1,COUNTIFS($AP$2:$AP$143,$AP126,$L$2:$L$143,$L126,$BK$2:$BK$143,"&gt;"&amp;$BK126)+1)</f>
        <v>50</v>
      </c>
    </row>
    <row r="127" spans="1:70" x14ac:dyDescent="0.25">
      <c r="A127">
        <v>117</v>
      </c>
      <c r="B127">
        <v>34.878285434310499</v>
      </c>
      <c r="C127">
        <v>32.145233387543698</v>
      </c>
      <c r="D127" t="s">
        <v>732</v>
      </c>
      <c r="E127" t="s">
        <v>733</v>
      </c>
      <c r="F127" t="s">
        <v>313</v>
      </c>
      <c r="G127" t="s">
        <v>314</v>
      </c>
      <c r="H127" t="s">
        <v>479</v>
      </c>
      <c r="I127" t="s">
        <v>480</v>
      </c>
      <c r="J127" t="s">
        <v>74</v>
      </c>
      <c r="K127" t="s">
        <v>75</v>
      </c>
      <c r="L127" t="s">
        <v>75</v>
      </c>
      <c r="M127" t="s">
        <v>216</v>
      </c>
      <c r="N127" t="s">
        <v>132</v>
      </c>
      <c r="O127">
        <v>26910.39</v>
      </c>
      <c r="P127">
        <v>1988.76</v>
      </c>
      <c r="Q127">
        <v>7.3903053801895796E-2</v>
      </c>
      <c r="R127">
        <v>2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2</v>
      </c>
      <c r="Y127">
        <v>0</v>
      </c>
      <c r="Z127">
        <v>12081.3562451362</v>
      </c>
      <c r="AA127">
        <v>4201.3314678315</v>
      </c>
      <c r="AB127">
        <v>16692.0821769986</v>
      </c>
      <c r="AC127">
        <v>6868.12528270844</v>
      </c>
      <c r="AD127">
        <v>10914.397158928899</v>
      </c>
      <c r="AE127">
        <v>4683.5148891294602</v>
      </c>
      <c r="AF127">
        <v>39687.835581063802</v>
      </c>
      <c r="AG127">
        <v>15752.9716396694</v>
      </c>
      <c r="AH127">
        <v>0</v>
      </c>
      <c r="AI127">
        <v>2</v>
      </c>
      <c r="AJ127">
        <v>0</v>
      </c>
      <c r="AK127">
        <v>2</v>
      </c>
      <c r="AL127">
        <v>22</v>
      </c>
      <c r="AM127">
        <v>0</v>
      </c>
      <c r="AN127" t="s">
        <v>103</v>
      </c>
      <c r="AO127" t="b">
        <v>0</v>
      </c>
      <c r="AP127" t="s">
        <v>103</v>
      </c>
      <c r="AQ127">
        <v>0</v>
      </c>
      <c r="AR127">
        <v>1</v>
      </c>
      <c r="AS127">
        <v>1.30754024286924</v>
      </c>
      <c r="AT127">
        <v>1</v>
      </c>
      <c r="AU127">
        <v>4.65318687893354</v>
      </c>
      <c r="AV127">
        <v>1.9551567212033401</v>
      </c>
      <c r="AW127">
        <v>1.9874285625791099</v>
      </c>
      <c r="AX127">
        <v>130</v>
      </c>
      <c r="AY127">
        <v>58</v>
      </c>
      <c r="AZ127">
        <v>4</v>
      </c>
      <c r="BA127">
        <v>0</v>
      </c>
      <c r="BB127">
        <v>0</v>
      </c>
      <c r="BC127">
        <v>2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2</v>
      </c>
      <c r="BJ127">
        <v>4</v>
      </c>
      <c r="BK127">
        <v>1.9874285625791099</v>
      </c>
      <c r="BL127">
        <v>130</v>
      </c>
      <c r="BM127">
        <v>58</v>
      </c>
      <c r="BN127">
        <v>4.4299199918410697</v>
      </c>
      <c r="BO127">
        <v>20539.9444279483</v>
      </c>
      <c r="BP127" t="s">
        <v>734</v>
      </c>
      <c r="BQ127" t="str">
        <f>SUBSTITUTE(SUBSTITUTE(SUBSTITUTE(SUBSTITUTE(SUBSTITUTE(SUBSTITUTE(SUBSTITUTE(I127,"[",""),"]",""),"'",""),"M1-LOD-KS","לוד-כפרסבא (מטרו)"),"M1-KS-LOD","כפר סבא-לוד (מטרו)"),"M1-RA-RE","רעננה-רחובות (מטרו)"),"M1-RE-RA","רחובות-רעננה (מטרו)")</f>
        <v>לוד-כפרסבא (מטרו), רצועת הנופש-צומת חולון (BRT), צומת חולון-רצועת הנופש (BRT), כפר סבא-לוד (מטרו)</v>
      </c>
      <c r="BR127">
        <f>IF($AP127="ארצי",COUNTIFS($AP$2:$AP$143,"ארצי",$BK$2:$BK$143,"&gt;"&amp;$BK127)+1,COUNTIFS($AP$2:$AP$143,$AP127,$L$2:$L$143,$L127,$BK$2:$BK$143,"&gt;"&amp;$BK127)+1)</f>
        <v>42</v>
      </c>
    </row>
    <row r="128" spans="1:70" x14ac:dyDescent="0.25">
      <c r="A128">
        <v>477</v>
      </c>
      <c r="B128">
        <v>34.870033484181803</v>
      </c>
      <c r="C128">
        <v>32.000821266279203</v>
      </c>
      <c r="D128" t="s">
        <v>735</v>
      </c>
      <c r="E128" t="s">
        <v>736</v>
      </c>
      <c r="F128" t="s">
        <v>82</v>
      </c>
      <c r="G128" t="s">
        <v>83</v>
      </c>
      <c r="H128" t="s">
        <v>737</v>
      </c>
      <c r="I128" t="s">
        <v>738</v>
      </c>
      <c r="J128" t="s">
        <v>74</v>
      </c>
      <c r="K128" t="s">
        <v>75</v>
      </c>
      <c r="L128" t="s">
        <v>75</v>
      </c>
      <c r="M128" t="s">
        <v>216</v>
      </c>
      <c r="N128" t="s">
        <v>132</v>
      </c>
      <c r="O128">
        <v>137307.51</v>
      </c>
      <c r="P128">
        <v>132449.01</v>
      </c>
      <c r="Q128">
        <v>0.96461591940600999</v>
      </c>
      <c r="R128">
        <v>0</v>
      </c>
      <c r="S128">
        <v>0</v>
      </c>
      <c r="T128">
        <v>0</v>
      </c>
      <c r="U128">
        <v>4</v>
      </c>
      <c r="V128">
        <v>4</v>
      </c>
      <c r="W128">
        <v>2</v>
      </c>
      <c r="X128">
        <v>0</v>
      </c>
      <c r="Y128">
        <v>4</v>
      </c>
      <c r="Z128">
        <v>11.2857548242837</v>
      </c>
      <c r="AA128">
        <v>2392.8106022444799</v>
      </c>
      <c r="AB128">
        <v>378.45716576922001</v>
      </c>
      <c r="AC128">
        <v>2736.49458290128</v>
      </c>
      <c r="AD128">
        <v>332.47659970913401</v>
      </c>
      <c r="AE128">
        <v>1575.2852012005501</v>
      </c>
      <c r="AF128">
        <v>722.21952030263799</v>
      </c>
      <c r="AG128">
        <v>6704.59038634632</v>
      </c>
      <c r="AH128">
        <v>0</v>
      </c>
      <c r="AI128">
        <v>2</v>
      </c>
      <c r="AJ128">
        <v>0</v>
      </c>
      <c r="AK128">
        <v>4</v>
      </c>
      <c r="AL128">
        <v>122.2</v>
      </c>
      <c r="AM128">
        <v>0</v>
      </c>
      <c r="AN128" t="s">
        <v>78</v>
      </c>
      <c r="AO128" t="b">
        <v>0</v>
      </c>
      <c r="AP128" t="s">
        <v>78</v>
      </c>
      <c r="AQ128">
        <v>0</v>
      </c>
      <c r="AR128">
        <v>1</v>
      </c>
      <c r="AS128">
        <v>3.8542784524145701</v>
      </c>
      <c r="AT128">
        <v>1</v>
      </c>
      <c r="AU128">
        <v>3.9740168963691902</v>
      </c>
      <c r="AV128">
        <v>1.2320612989620701</v>
      </c>
      <c r="AW128">
        <v>1.97492645483642</v>
      </c>
      <c r="AX128">
        <v>131</v>
      </c>
      <c r="AY128">
        <v>16</v>
      </c>
      <c r="AZ128">
        <v>14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14</v>
      </c>
      <c r="BK128">
        <v>1.97492645483642</v>
      </c>
      <c r="BL128">
        <v>131</v>
      </c>
      <c r="BM128">
        <v>16</v>
      </c>
      <c r="BN128">
        <v>5.1376942915147001</v>
      </c>
      <c r="BO128">
        <v>5508.1162131375904</v>
      </c>
      <c r="BP128" t="s">
        <v>739</v>
      </c>
      <c r="BQ128" t="str">
        <f>SUBSTITUTE(SUBSTITUTE(SUBSTITUTE(SUBSTITUTE(SUBSTITUTE(SUBSTITUTE(SUBSTITUTE(I128,"[",""),"]",""),"'",""),"M1-LOD-KS","לוד-כפרסבא (מטרו)"),"M1-KS-LOD","כפר סבא-לוד (מטרו)"),"M1-RA-RE","רעננה-רחובות (מטרו)"),"M1-RE-RA","רחובות-רעננה (מטרו)")</f>
        <v>קרית שמונה-מודיעין (רכבת בינעירונית), נתניה-ירושלים (רכבת פרברית), הרצליה-בית שאן (רכבת פרברית), חיפה-באר שבע (רכבת מהירה), בית שאן-הרצליה (רכבת פרברית), נהריה-אילת (רכבת מהירה), מודיעין-קרית שמונה (רכבת בינעירונית), ירושלים-חיפה (רכבת מהירה), אילת-נהריה (רכבת מהירה), חיפה-ירושלים (רכבת מהירה), באר שבע-חיפה (רכבת מהירה), ירושלים-נתניה (רכבת פרברית), צומת בילו-צומת רעננה (רק"ל), צומת רעננה-צומת בילו (רק"ל)</v>
      </c>
      <c r="BR128">
        <f>IF($AP128="ארצי",COUNTIFS($AP$2:$AP$143,"ארצי",$BK$2:$BK$143,"&gt;"&amp;$BK128)+1,COUNTIFS($AP$2:$AP$143,$AP128,$L$2:$L$143,$L128,$BK$2:$BK$143,"&gt;"&amp;$BK128)+1)</f>
        <v>15</v>
      </c>
    </row>
    <row r="129" spans="1:70" x14ac:dyDescent="0.25">
      <c r="A129">
        <v>114</v>
      </c>
      <c r="B129">
        <v>34.9366105909601</v>
      </c>
      <c r="C129">
        <v>32.220849752516102</v>
      </c>
      <c r="D129" t="s">
        <v>740</v>
      </c>
      <c r="E129" t="s">
        <v>741</v>
      </c>
      <c r="F129" t="s">
        <v>127</v>
      </c>
      <c r="G129" t="s">
        <v>128</v>
      </c>
      <c r="H129" t="s">
        <v>144</v>
      </c>
      <c r="I129" t="s">
        <v>145</v>
      </c>
      <c r="J129" t="s">
        <v>74</v>
      </c>
      <c r="K129" t="s">
        <v>75</v>
      </c>
      <c r="L129" t="s">
        <v>75</v>
      </c>
      <c r="M129" t="s">
        <v>131</v>
      </c>
      <c r="N129" t="s">
        <v>132</v>
      </c>
      <c r="O129">
        <v>1253.05</v>
      </c>
      <c r="P129" s="1">
        <v>3.1220000000000003E-5</v>
      </c>
      <c r="Q129" s="1">
        <v>2.4915206895175701E-8</v>
      </c>
      <c r="R129">
        <v>1</v>
      </c>
      <c r="S129">
        <v>0</v>
      </c>
      <c r="T129">
        <v>0</v>
      </c>
      <c r="U129">
        <v>0</v>
      </c>
      <c r="V129">
        <v>0</v>
      </c>
      <c r="W129">
        <v>1</v>
      </c>
      <c r="X129">
        <v>0</v>
      </c>
      <c r="Y129">
        <v>0</v>
      </c>
      <c r="Z129">
        <v>775.15219841525095</v>
      </c>
      <c r="AA129">
        <v>258.734639711554</v>
      </c>
      <c r="AB129">
        <v>2133.1412960154998</v>
      </c>
      <c r="AC129">
        <v>554.38193716638602</v>
      </c>
      <c r="AD129">
        <v>2594.5530829170698</v>
      </c>
      <c r="AE129">
        <v>537.12634190252595</v>
      </c>
      <c r="AF129">
        <v>5502.8465773478301</v>
      </c>
      <c r="AG129">
        <v>1350.2429187804601</v>
      </c>
      <c r="AH129">
        <v>0</v>
      </c>
      <c r="AI129">
        <v>2</v>
      </c>
      <c r="AJ129">
        <v>0</v>
      </c>
      <c r="AK129">
        <v>2</v>
      </c>
      <c r="AL129">
        <v>9.9</v>
      </c>
      <c r="AM129">
        <v>0</v>
      </c>
      <c r="AN129" t="s">
        <v>133</v>
      </c>
      <c r="AO129" t="b">
        <v>0</v>
      </c>
      <c r="AP129" t="s">
        <v>133</v>
      </c>
      <c r="AQ129">
        <v>0</v>
      </c>
      <c r="AR129">
        <v>1</v>
      </c>
      <c r="AS129">
        <v>1</v>
      </c>
      <c r="AT129">
        <v>1</v>
      </c>
      <c r="AU129">
        <v>1</v>
      </c>
      <c r="AV129">
        <v>1.0720013666738799</v>
      </c>
      <c r="AW129">
        <v>1.9718238286086001</v>
      </c>
      <c r="AX129">
        <v>132</v>
      </c>
      <c r="AY129">
        <v>27</v>
      </c>
      <c r="AZ129">
        <v>2</v>
      </c>
      <c r="BA129">
        <v>0</v>
      </c>
      <c r="BB129">
        <v>0</v>
      </c>
      <c r="BC129">
        <v>2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2</v>
      </c>
      <c r="BJ129">
        <v>2</v>
      </c>
      <c r="BK129">
        <v>1.9718238286086001</v>
      </c>
      <c r="BL129">
        <v>132</v>
      </c>
      <c r="BM129">
        <v>27</v>
      </c>
      <c r="BN129">
        <v>3.0979684008352102</v>
      </c>
      <c r="BO129">
        <v>2180.7636504939301</v>
      </c>
      <c r="BP129" t="s">
        <v>742</v>
      </c>
      <c r="BQ129" t="str">
        <f>SUBSTITUTE(SUBSTITUTE(SUBSTITUTE(SUBSTITUTE(SUBSTITUTE(SUBSTITUTE(SUBSTITUTE(I129,"[",""),"]",""),"'",""),"M1-LOD-KS","לוד-כפרסבא (מטרו)"),"M1-KS-LOD","כפר סבא-לוד (מטרו)"),"M1-RA-RE","רעננה-רחובות (מטרו)"),"M1-RE-RA","רחובות-רעננה (מטרו)")</f>
        <v>כפ"ס-נתניה דרך טייבה/קלאנסווה (רק"ל), נתניה-כפ"ס דרך טייבה/קלאנסווה (BRT)</v>
      </c>
      <c r="BR129">
        <f>IF($AP129="ארצי",COUNTIFS($AP$2:$AP$143,"ארצי",$BK$2:$BK$143,"&gt;"&amp;$BK129)+1,COUNTIFS($AP$2:$AP$143,$AP129,$L$2:$L$143,$L129,$BK$2:$BK$143,"&gt;"&amp;$BK129)+1)</f>
        <v>27</v>
      </c>
    </row>
    <row r="130" spans="1:70" x14ac:dyDescent="0.25">
      <c r="A130">
        <v>783</v>
      </c>
      <c r="B130">
        <v>35.224146182119803</v>
      </c>
      <c r="C130">
        <v>31.767850043608998</v>
      </c>
      <c r="D130" t="s">
        <v>119</v>
      </c>
      <c r="E130" t="s">
        <v>120</v>
      </c>
      <c r="F130" t="s">
        <v>121</v>
      </c>
      <c r="G130" t="s">
        <v>122</v>
      </c>
      <c r="H130" t="s">
        <v>123</v>
      </c>
      <c r="I130" t="s">
        <v>124</v>
      </c>
      <c r="J130" t="s">
        <v>74</v>
      </c>
      <c r="K130" t="s">
        <v>86</v>
      </c>
      <c r="L130" t="s">
        <v>86</v>
      </c>
      <c r="M130" t="s">
        <v>76</v>
      </c>
      <c r="N130" t="s">
        <v>77</v>
      </c>
      <c r="O130">
        <v>82767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8</v>
      </c>
      <c r="X130">
        <v>0</v>
      </c>
      <c r="Y130">
        <v>6</v>
      </c>
      <c r="Z130">
        <v>14811.6606276567</v>
      </c>
      <c r="AA130">
        <v>6634.8621820707904</v>
      </c>
      <c r="AB130">
        <v>28080.818596184999</v>
      </c>
      <c r="AC130">
        <v>12741.982626221101</v>
      </c>
      <c r="AD130">
        <v>22997.685253911699</v>
      </c>
      <c r="AE130">
        <v>10739.869567317401</v>
      </c>
      <c r="AF130">
        <v>65890.164477753395</v>
      </c>
      <c r="AG130">
        <v>30116.714375609299</v>
      </c>
      <c r="AH130">
        <v>1</v>
      </c>
      <c r="AI130">
        <v>3</v>
      </c>
      <c r="AJ130">
        <v>3</v>
      </c>
      <c r="AK130">
        <v>2</v>
      </c>
      <c r="AL130">
        <v>83.6</v>
      </c>
      <c r="AM130">
        <v>2</v>
      </c>
      <c r="AN130" t="s">
        <v>103</v>
      </c>
      <c r="AO130" t="b">
        <v>0</v>
      </c>
      <c r="AP130" t="s">
        <v>103</v>
      </c>
      <c r="AQ130">
        <v>2</v>
      </c>
      <c r="AR130">
        <v>10</v>
      </c>
      <c r="AS130">
        <v>2.8731996611126802</v>
      </c>
      <c r="AT130">
        <v>7</v>
      </c>
      <c r="AU130">
        <v>7.1300999849960398</v>
      </c>
      <c r="AV130">
        <v>2.7600117220353999</v>
      </c>
      <c r="AW130">
        <v>6.1959723415966499</v>
      </c>
      <c r="AX130">
        <v>7</v>
      </c>
      <c r="AY130">
        <v>3</v>
      </c>
      <c r="AZ130">
        <v>14</v>
      </c>
      <c r="BA130">
        <v>4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4</v>
      </c>
      <c r="BJ130">
        <v>14</v>
      </c>
      <c r="BK130">
        <v>6.1959723415966499</v>
      </c>
      <c r="BL130">
        <v>7</v>
      </c>
      <c r="BM130">
        <v>3</v>
      </c>
      <c r="BN130">
        <v>4.9178572139029901</v>
      </c>
      <c r="BO130">
        <v>37271.404396038197</v>
      </c>
      <c r="BP130" t="s">
        <v>802</v>
      </c>
      <c r="BQ130" t="str">
        <f>SUBSTITUTE(SUBSTITUTE(SUBSTITUTE(SUBSTITUTE(SUBSTITUTE(SUBSTITUTE(SUBSTITUTE(I130,"[",""),"]",""),"'",""),"M1-LOD-KS","לוד-כפרסבא (מטרו)"),"M1-KS-LOD","כפר סבא-לוד (מטרו)"),"M1-RA-RE","רעננה-רחובות (מטרו)"),"M1-RE-RA","רחובות-רעננה (מטרו)")</f>
        <v>תכלת כיוון 2 (רק"ל), תכלת כיוון 1 (רק"ל), כחול כיוון 2 (רק"ל), כחול כיוון 1 (רק"ל), ירושלים-מודיעין (רכבת פרברית), חריש-ירושלים (רכבת פרברית), נתניה-ירושלים (רכבת פרברית), ירושלים-חריש (רכבת פרברית), מודיעין-ירושלים (רכבת פרברית), ירושלים-נתניה (רכבת פרברית)</v>
      </c>
      <c r="BR130">
        <f>IF($AP130="ארצי",COUNTIFS($AP$2:$AP$143,"ארצי",$BK$2:$BK$143,"&gt;"&amp;$BK130)+1,COUNTIFS($AP$2:$AP$143,$AP130,$L$2:$L$143,$L130,$BK$2:$BK$143,"&gt;"&amp;$BK130)+1)</f>
        <v>1</v>
      </c>
    </row>
    <row r="131" spans="1:70" x14ac:dyDescent="0.25">
      <c r="A131">
        <v>119</v>
      </c>
      <c r="B131">
        <v>34.8950170226978</v>
      </c>
      <c r="C131">
        <v>32.1452164343928</v>
      </c>
      <c r="D131" t="s">
        <v>745</v>
      </c>
      <c r="E131" t="s">
        <v>746</v>
      </c>
      <c r="F131" t="s">
        <v>373</v>
      </c>
      <c r="G131" t="s">
        <v>374</v>
      </c>
      <c r="H131" t="s">
        <v>747</v>
      </c>
      <c r="I131" t="s">
        <v>748</v>
      </c>
      <c r="J131" t="s">
        <v>74</v>
      </c>
      <c r="K131" t="s">
        <v>75</v>
      </c>
      <c r="L131" t="s">
        <v>75</v>
      </c>
      <c r="M131" t="s">
        <v>131</v>
      </c>
      <c r="N131" t="s">
        <v>132</v>
      </c>
      <c r="O131">
        <v>21542.92</v>
      </c>
      <c r="P131">
        <v>19388.87</v>
      </c>
      <c r="Q131">
        <v>0.90001123338897404</v>
      </c>
      <c r="R131">
        <v>1.6666666666666601</v>
      </c>
      <c r="S131">
        <v>0</v>
      </c>
      <c r="T131">
        <v>0</v>
      </c>
      <c r="U131">
        <v>0</v>
      </c>
      <c r="V131">
        <v>0</v>
      </c>
      <c r="W131">
        <v>1.6666666666666601</v>
      </c>
      <c r="X131">
        <v>1.6666666666666601</v>
      </c>
      <c r="Y131">
        <v>0</v>
      </c>
      <c r="Z131">
        <v>9460.7629671491195</v>
      </c>
      <c r="AA131">
        <v>3187.5087453030501</v>
      </c>
      <c r="AB131">
        <v>19569.9064282125</v>
      </c>
      <c r="AC131">
        <v>6525.1248296364902</v>
      </c>
      <c r="AD131">
        <v>12865.418792501699</v>
      </c>
      <c r="AE131">
        <v>4767.3629395956896</v>
      </c>
      <c r="AF131">
        <v>41896.088187863301</v>
      </c>
      <c r="AG131">
        <v>14479.9965145352</v>
      </c>
      <c r="AH131">
        <v>0</v>
      </c>
      <c r="AI131">
        <v>2</v>
      </c>
      <c r="AJ131">
        <v>0</v>
      </c>
      <c r="AK131">
        <v>3</v>
      </c>
      <c r="AL131">
        <v>30</v>
      </c>
      <c r="AM131">
        <v>0</v>
      </c>
      <c r="AN131" t="s">
        <v>103</v>
      </c>
      <c r="AO131" t="b">
        <v>0</v>
      </c>
      <c r="AP131" t="s">
        <v>103</v>
      </c>
      <c r="AQ131">
        <v>0</v>
      </c>
      <c r="AR131">
        <v>1</v>
      </c>
      <c r="AS131">
        <v>1.5108726348489101</v>
      </c>
      <c r="AT131">
        <v>1</v>
      </c>
      <c r="AU131">
        <v>4.1627385240412904</v>
      </c>
      <c r="AV131">
        <v>1.92741355435072</v>
      </c>
      <c r="AW131">
        <v>1.93951241500169</v>
      </c>
      <c r="AX131">
        <v>134</v>
      </c>
      <c r="AY131">
        <v>59</v>
      </c>
      <c r="AZ131">
        <v>5</v>
      </c>
      <c r="BA131">
        <v>0</v>
      </c>
      <c r="BB131">
        <v>0</v>
      </c>
      <c r="BC131">
        <v>1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1</v>
      </c>
      <c r="BJ131">
        <v>5</v>
      </c>
      <c r="BK131">
        <v>1.93951241500169</v>
      </c>
      <c r="BL131">
        <v>134</v>
      </c>
      <c r="BM131">
        <v>59</v>
      </c>
      <c r="BN131">
        <v>4.3333045686898704</v>
      </c>
      <c r="BO131">
        <v>19963.214849200798</v>
      </c>
      <c r="BP131" t="s">
        <v>749</v>
      </c>
      <c r="BQ131" t="str">
        <f>SUBSTITUTE(SUBSTITUTE(SUBSTITUTE(SUBSTITUTE(SUBSTITUTE(SUBSTITUTE(SUBSTITUTE(I131,"[",""),"]",""),"'",""),"M1-LOD-KS","לוד-כפרסבא (מטרו)"),"M1-KS-LOD","כפר סבא-לוד (מטרו)"),"M1-RA-RE","רעננה-רחובות (מטרו)"),"M1-RE-RA","רחובות-רעננה (מטרו)")</f>
        <v>לוד-כפרסבא (מטרו), צומת חולון-רצועת הנופש (BRT), צומת בילו-צומת רעננה (רק"ל), צומת רעננה-צומת בילו (רק"ל), כפר סבא-לוד (מטרו)</v>
      </c>
      <c r="BR131">
        <f>IF($AP131="ארצי",COUNTIFS($AP$2:$AP$143,"ארצי",$BK$2:$BK$143,"&gt;"&amp;$BK131)+1,COUNTIFS($AP$2:$AP$143,$AP131,$L$2:$L$143,$L131,$BK$2:$BK$143,"&gt;"&amp;$BK131)+1)</f>
        <v>43</v>
      </c>
    </row>
    <row r="132" spans="1:70" x14ac:dyDescent="0.25">
      <c r="A132">
        <v>363</v>
      </c>
      <c r="B132">
        <v>34.826919383537003</v>
      </c>
      <c r="C132">
        <v>31.9611504966376</v>
      </c>
      <c r="D132" t="s">
        <v>750</v>
      </c>
      <c r="E132" t="s">
        <v>751</v>
      </c>
      <c r="F132" t="s">
        <v>127</v>
      </c>
      <c r="G132" t="s">
        <v>128</v>
      </c>
      <c r="H132" t="s">
        <v>581</v>
      </c>
      <c r="I132" t="s">
        <v>582</v>
      </c>
      <c r="J132" t="s">
        <v>74</v>
      </c>
      <c r="K132" t="s">
        <v>75</v>
      </c>
      <c r="L132" t="s">
        <v>75</v>
      </c>
      <c r="M132" t="s">
        <v>216</v>
      </c>
      <c r="N132" t="s">
        <v>132</v>
      </c>
      <c r="O132">
        <v>2809.22</v>
      </c>
      <c r="P132">
        <v>11.247070000000001</v>
      </c>
      <c r="Q132">
        <v>4.0036273413972499E-3</v>
      </c>
      <c r="R132">
        <v>3</v>
      </c>
      <c r="S132">
        <v>0</v>
      </c>
      <c r="T132">
        <v>0</v>
      </c>
      <c r="U132">
        <v>0</v>
      </c>
      <c r="V132">
        <v>0</v>
      </c>
      <c r="W132">
        <v>3</v>
      </c>
      <c r="X132">
        <v>0</v>
      </c>
      <c r="Y132">
        <v>0</v>
      </c>
      <c r="Z132">
        <v>9168.8082982379092</v>
      </c>
      <c r="AA132">
        <v>1819.43063976853</v>
      </c>
      <c r="AB132">
        <v>19981.665285687799</v>
      </c>
      <c r="AC132">
        <v>5381.8316609516596</v>
      </c>
      <c r="AD132">
        <v>15234.933327883</v>
      </c>
      <c r="AE132">
        <v>6970.4376410230198</v>
      </c>
      <c r="AF132">
        <v>44385.406911808801</v>
      </c>
      <c r="AG132">
        <v>14171.6999417432</v>
      </c>
      <c r="AH132">
        <v>0</v>
      </c>
      <c r="AI132">
        <v>2</v>
      </c>
      <c r="AJ132">
        <v>0</v>
      </c>
      <c r="AK132">
        <v>2</v>
      </c>
      <c r="AL132">
        <v>29.7</v>
      </c>
      <c r="AM132">
        <v>0</v>
      </c>
      <c r="AN132" t="s">
        <v>140</v>
      </c>
      <c r="AO132" t="b">
        <v>0</v>
      </c>
      <c r="AP132" t="s">
        <v>140</v>
      </c>
      <c r="AQ132">
        <v>0</v>
      </c>
      <c r="AR132">
        <v>1</v>
      </c>
      <c r="AS132">
        <v>1.50324767014967</v>
      </c>
      <c r="AT132">
        <v>1</v>
      </c>
      <c r="AU132">
        <v>2.7250470558610602</v>
      </c>
      <c r="AV132">
        <v>2.81154397759994</v>
      </c>
      <c r="AW132">
        <v>1.92330287467815</v>
      </c>
      <c r="AX132">
        <v>135</v>
      </c>
      <c r="AY132">
        <v>33</v>
      </c>
      <c r="AZ132">
        <v>6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6</v>
      </c>
      <c r="BG132">
        <v>0</v>
      </c>
      <c r="BH132">
        <v>0</v>
      </c>
      <c r="BI132">
        <v>6</v>
      </c>
      <c r="BJ132">
        <v>6</v>
      </c>
      <c r="BK132">
        <v>1.92330287467815</v>
      </c>
      <c r="BL132">
        <v>135</v>
      </c>
      <c r="BM132">
        <v>33</v>
      </c>
      <c r="BN132">
        <v>3.4485857516774399</v>
      </c>
      <c r="BO132">
        <v>38342.6655177957</v>
      </c>
      <c r="BP132" t="s">
        <v>752</v>
      </c>
      <c r="BQ132" t="str">
        <f>SUBSTITUTE(SUBSTITUTE(SUBSTITUTE(SUBSTITUTE(SUBSTITUTE(SUBSTITUTE(SUBSTITUTE(I132,"[",""),"]",""),"'",""),"M1-LOD-KS","לוד-כפרסבא (מטרו)"),"M1-KS-LOD","כפר סבא-לוד (מטרו)"),"M1-RA-RE","רעננה-רחובות (מטרו)"),"M1-RE-RA","רחובות-רעננה (מטרו)")</f>
        <v>אסף הרופא-חוף ראשל"צ (רק"ל), אסף הרופא-מתחם ה-1000 (רק"ל), תחנה מרכזית ראשל"צ-לוד (BRT), לוד-תחנה מרכזית ראשל"צ (BRT), מתחם ה-1000-אסף הרופא (רק"ל), חוף ראשל"צ-אסף הרופא (רק"ל)</v>
      </c>
      <c r="BR132">
        <f>IF($AP132="ארצי",COUNTIFS($AP$2:$AP$143,"ארצי",$BK$2:$BK$143,"&gt;"&amp;$BK132)+1,COUNTIFS($AP$2:$AP$143,$AP132,$L$2:$L$143,$L132,$BK$2:$BK$143,"&gt;"&amp;$BK132)+1)</f>
        <v>17</v>
      </c>
    </row>
    <row r="133" spans="1:70" x14ac:dyDescent="0.25">
      <c r="A133">
        <v>813</v>
      </c>
      <c r="B133">
        <v>34.595313340112902</v>
      </c>
      <c r="C133">
        <v>31.6599617708309</v>
      </c>
      <c r="D133" t="s">
        <v>722</v>
      </c>
      <c r="E133" t="s">
        <v>723</v>
      </c>
      <c r="F133" t="s">
        <v>232</v>
      </c>
      <c r="G133" t="s">
        <v>233</v>
      </c>
      <c r="H133" t="s">
        <v>724</v>
      </c>
      <c r="I133" t="s">
        <v>725</v>
      </c>
      <c r="J133" t="s">
        <v>74</v>
      </c>
      <c r="K133" t="s">
        <v>276</v>
      </c>
      <c r="L133" t="s">
        <v>276</v>
      </c>
      <c r="M133" t="s">
        <v>277</v>
      </c>
      <c r="N133" t="s">
        <v>278</v>
      </c>
      <c r="O133">
        <v>1735.1315202200001</v>
      </c>
      <c r="P133">
        <v>0</v>
      </c>
      <c r="Q133">
        <v>0</v>
      </c>
      <c r="R133">
        <v>2</v>
      </c>
      <c r="S133">
        <v>0</v>
      </c>
      <c r="T133">
        <v>0</v>
      </c>
      <c r="U133">
        <v>0</v>
      </c>
      <c r="V133">
        <v>0</v>
      </c>
      <c r="W133">
        <v>2</v>
      </c>
      <c r="X133">
        <v>0</v>
      </c>
      <c r="Y133">
        <v>0</v>
      </c>
      <c r="Z133">
        <v>5368.1287723994001</v>
      </c>
      <c r="AA133">
        <v>6019.1043009628602</v>
      </c>
      <c r="AB133">
        <v>11545.368156839801</v>
      </c>
      <c r="AC133">
        <v>5088.8349778063402</v>
      </c>
      <c r="AD133">
        <v>7420.87376731533</v>
      </c>
      <c r="AE133">
        <v>2888.8833823341502</v>
      </c>
      <c r="AF133">
        <v>24334.370696554499</v>
      </c>
      <c r="AG133">
        <v>13996.822661103301</v>
      </c>
      <c r="AH133">
        <v>1</v>
      </c>
      <c r="AI133">
        <v>1</v>
      </c>
      <c r="AJ133">
        <v>1</v>
      </c>
      <c r="AK133">
        <v>2</v>
      </c>
      <c r="AL133">
        <v>19.8</v>
      </c>
      <c r="AM133">
        <v>0</v>
      </c>
      <c r="AN133" t="s">
        <v>140</v>
      </c>
      <c r="AO133" t="b">
        <v>0</v>
      </c>
      <c r="AP133" t="s">
        <v>140</v>
      </c>
      <c r="AQ133">
        <v>0</v>
      </c>
      <c r="AR133">
        <v>4</v>
      </c>
      <c r="AS133">
        <v>1.2516238350748301</v>
      </c>
      <c r="AT133">
        <v>1</v>
      </c>
      <c r="AU133">
        <v>1.6992745416456601</v>
      </c>
      <c r="AV133">
        <v>2.0382288209299801</v>
      </c>
      <c r="AW133">
        <v>2.0453754463687801</v>
      </c>
      <c r="AX133">
        <v>128</v>
      </c>
      <c r="AY133">
        <v>31</v>
      </c>
      <c r="AZ133">
        <v>4</v>
      </c>
      <c r="BA133">
        <v>0</v>
      </c>
      <c r="BB133">
        <v>0</v>
      </c>
      <c r="BC133">
        <v>4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4</v>
      </c>
      <c r="BJ133">
        <v>4</v>
      </c>
      <c r="BK133">
        <v>2.0453754463687801</v>
      </c>
      <c r="BL133">
        <v>128</v>
      </c>
      <c r="BM133">
        <v>31</v>
      </c>
      <c r="BN133">
        <v>3.23933239920816</v>
      </c>
      <c r="BO133">
        <v>22266.861089464299</v>
      </c>
      <c r="BP133" t="s">
        <v>797</v>
      </c>
      <c r="BQ133" t="str">
        <f>SUBSTITUTE(SUBSTITUTE(SUBSTITUTE(SUBSTITUTE(SUBSTITUTE(SUBSTITUTE(SUBSTITUTE(I133,"[",""),"]",""),"'",""),"M1-LOD-KS","לוד-כפרסבא (מטרו)"),"M1-KS-LOD","כפר סבא-לוד (מטרו)"),"M1-RA-RE","רעננה-רחובות (מטרו)"),"M1-RE-RA","רחובות-רעננה (מטרו)")</f>
        <v>אשקלון-קרית גת (ורוד) (BRT), קרית גת-אשקלון (ורוד) (BRT), אשדוד-אשקלון (אדום) (רק"ל), אשקלון-אשדוד (אדום) (רק"ל)</v>
      </c>
      <c r="BR133">
        <f>IF($AP133="ארצי",COUNTIFS($AP$2:$AP$143,"ארצי",$BK$2:$BK$143,"&gt;"&amp;$BK133)+1,COUNTIFS($AP$2:$AP$143,$AP133,$L$2:$L$143,$L133,$BK$2:$BK$143,"&gt;"&amp;$BK133)+1)</f>
        <v>6</v>
      </c>
    </row>
    <row r="134" spans="1:70" x14ac:dyDescent="0.25">
      <c r="A134">
        <v>314</v>
      </c>
      <c r="B134">
        <v>34.899660659692501</v>
      </c>
      <c r="C134">
        <v>31.962205550244398</v>
      </c>
      <c r="D134" t="s">
        <v>757</v>
      </c>
      <c r="E134" t="s">
        <v>758</v>
      </c>
      <c r="F134" t="s">
        <v>373</v>
      </c>
      <c r="G134" t="s">
        <v>374</v>
      </c>
      <c r="H134" t="s">
        <v>759</v>
      </c>
      <c r="I134" t="s">
        <v>760</v>
      </c>
      <c r="J134" t="s">
        <v>74</v>
      </c>
      <c r="K134" t="s">
        <v>75</v>
      </c>
      <c r="L134" t="s">
        <v>75</v>
      </c>
      <c r="M134" t="s">
        <v>216</v>
      </c>
      <c r="N134" t="s">
        <v>132</v>
      </c>
      <c r="O134">
        <v>6550.66</v>
      </c>
      <c r="P134">
        <v>796.07249999999999</v>
      </c>
      <c r="Q134">
        <v>0.121525540937859</v>
      </c>
      <c r="R134">
        <v>8</v>
      </c>
      <c r="S134">
        <v>0</v>
      </c>
      <c r="T134">
        <v>0</v>
      </c>
      <c r="U134">
        <v>0</v>
      </c>
      <c r="V134">
        <v>0</v>
      </c>
      <c r="W134">
        <v>1.5</v>
      </c>
      <c r="X134">
        <v>1.5</v>
      </c>
      <c r="Y134">
        <v>0</v>
      </c>
      <c r="Z134">
        <v>7338.7944078961</v>
      </c>
      <c r="AA134">
        <v>10876.7595897712</v>
      </c>
      <c r="AB134">
        <v>14669.125755638001</v>
      </c>
      <c r="AC134">
        <v>13257.4052762274</v>
      </c>
      <c r="AD134">
        <v>10590.9228753194</v>
      </c>
      <c r="AE134">
        <v>8275.5181190461699</v>
      </c>
      <c r="AF134">
        <v>32598.8430388536</v>
      </c>
      <c r="AG134">
        <v>32409.682985044801</v>
      </c>
      <c r="AH134">
        <v>0</v>
      </c>
      <c r="AI134">
        <v>2</v>
      </c>
      <c r="AJ134">
        <v>0</v>
      </c>
      <c r="AK134">
        <v>3</v>
      </c>
      <c r="AL134">
        <v>58.2</v>
      </c>
      <c r="AM134">
        <v>0</v>
      </c>
      <c r="AN134" t="s">
        <v>103</v>
      </c>
      <c r="AO134" t="b">
        <v>0</v>
      </c>
      <c r="AP134" t="s">
        <v>103</v>
      </c>
      <c r="AQ134">
        <v>0</v>
      </c>
      <c r="AR134">
        <v>1</v>
      </c>
      <c r="AS134">
        <v>2.22761931657723</v>
      </c>
      <c r="AT134">
        <v>1</v>
      </c>
      <c r="AU134">
        <v>1.5381951558822</v>
      </c>
      <c r="AV134">
        <v>2.5279619478589699</v>
      </c>
      <c r="AW134">
        <v>1.86447507414783</v>
      </c>
      <c r="AX134">
        <v>138</v>
      </c>
      <c r="AY134">
        <v>62</v>
      </c>
      <c r="AZ134">
        <v>11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4</v>
      </c>
      <c r="BG134">
        <v>0</v>
      </c>
      <c r="BH134">
        <v>0</v>
      </c>
      <c r="BI134">
        <v>4</v>
      </c>
      <c r="BJ134">
        <v>11</v>
      </c>
      <c r="BK134">
        <v>1.86447507414783</v>
      </c>
      <c r="BL134">
        <v>138</v>
      </c>
      <c r="BM134">
        <v>62</v>
      </c>
      <c r="BN134">
        <v>3.8162850587578698</v>
      </c>
      <c r="BO134">
        <v>32447.514995806599</v>
      </c>
      <c r="BP134" t="s">
        <v>761</v>
      </c>
      <c r="BQ134" t="str">
        <f>SUBSTITUTE(SUBSTITUTE(SUBSTITUTE(SUBSTITUTE(SUBSTITUTE(SUBSTITUTE(SUBSTITUTE(I134,"[",""),"]",""),"'",""),"M1-LOD-KS","לוד-כפרסבא (מטרו)"),"M1-KS-LOD","כפר סבא-לוד (מטרו)"),"M1-RA-RE","רעננה-רחובות (מטרו)"),"M1-RE-RA","רחובות-רעננה (מטרו)")</f>
        <v>צומת בילו-צומת רעננה (רק"ל), לוד-כפרסבא (מטרו), כפר סבא-לוד (מטרו), אסף הרופא-אירפורט סיטי (BRT), תחנה מרכזית ראשל"צ-לוד (BRT), לוד-תחנה מרכזית ראשל"צ (BRT), אירפורא סיטי-אסף הרופא (BRT)</v>
      </c>
      <c r="BR134">
        <f>IF($AP134="ארצי",COUNTIFS($AP$2:$AP$143,"ארצי",$BK$2:$BK$143,"&gt;"&amp;$BK134)+1,COUNTIFS($AP$2:$AP$143,$AP134,$L$2:$L$143,$L134,$BK$2:$BK$143,"&gt;"&amp;$BK134)+1)</f>
        <v>45</v>
      </c>
    </row>
    <row r="135" spans="1:70" x14ac:dyDescent="0.25">
      <c r="A135">
        <v>832</v>
      </c>
      <c r="B135">
        <v>34.572121279630203</v>
      </c>
      <c r="C135">
        <v>31.651647925779301</v>
      </c>
      <c r="D135" t="s">
        <v>646</v>
      </c>
      <c r="E135" t="s">
        <v>647</v>
      </c>
      <c r="F135" t="s">
        <v>127</v>
      </c>
      <c r="G135" t="s">
        <v>128</v>
      </c>
      <c r="H135" t="s">
        <v>648</v>
      </c>
      <c r="I135" t="s">
        <v>649</v>
      </c>
      <c r="J135" t="s">
        <v>74</v>
      </c>
      <c r="K135" t="s">
        <v>276</v>
      </c>
      <c r="L135" t="s">
        <v>276</v>
      </c>
      <c r="M135" t="s">
        <v>277</v>
      </c>
      <c r="N135" t="s">
        <v>278</v>
      </c>
      <c r="O135">
        <v>4493.6285129999997</v>
      </c>
      <c r="P135">
        <v>0</v>
      </c>
      <c r="Q135">
        <v>0</v>
      </c>
      <c r="R135">
        <v>2</v>
      </c>
      <c r="S135">
        <v>0</v>
      </c>
      <c r="T135">
        <v>0</v>
      </c>
      <c r="U135">
        <v>0</v>
      </c>
      <c r="V135">
        <v>0</v>
      </c>
      <c r="W135">
        <v>2</v>
      </c>
      <c r="X135">
        <v>0</v>
      </c>
      <c r="Y135">
        <v>0</v>
      </c>
      <c r="Z135">
        <v>7947.4909635622898</v>
      </c>
      <c r="AA135">
        <v>1804.40989858284</v>
      </c>
      <c r="AB135">
        <v>13927.9594191054</v>
      </c>
      <c r="AC135">
        <v>3242.4253434729198</v>
      </c>
      <c r="AD135">
        <v>9930.8044589205092</v>
      </c>
      <c r="AE135">
        <v>2312.7765529896201</v>
      </c>
      <c r="AF135">
        <v>31806.254841588201</v>
      </c>
      <c r="AG135">
        <v>7359.61179504539</v>
      </c>
      <c r="AH135">
        <v>1</v>
      </c>
      <c r="AI135">
        <v>1</v>
      </c>
      <c r="AJ135">
        <v>1</v>
      </c>
      <c r="AK135">
        <v>2</v>
      </c>
      <c r="AL135">
        <v>19.8</v>
      </c>
      <c r="AM135">
        <v>0</v>
      </c>
      <c r="AN135" t="s">
        <v>140</v>
      </c>
      <c r="AO135" t="b">
        <v>0</v>
      </c>
      <c r="AP135" t="s">
        <v>140</v>
      </c>
      <c r="AQ135">
        <v>0</v>
      </c>
      <c r="AR135">
        <v>4</v>
      </c>
      <c r="AS135">
        <v>1.2516238350748301</v>
      </c>
      <c r="AT135">
        <v>1</v>
      </c>
      <c r="AU135">
        <v>3.7251232769026901</v>
      </c>
      <c r="AV135">
        <v>2.2619169026352002</v>
      </c>
      <c r="AW135">
        <v>2.5209879316879702</v>
      </c>
      <c r="AX135">
        <v>110</v>
      </c>
      <c r="AY135">
        <v>24</v>
      </c>
      <c r="AZ135">
        <v>4</v>
      </c>
      <c r="BA135">
        <v>0</v>
      </c>
      <c r="BB135">
        <v>0</v>
      </c>
      <c r="BC135">
        <v>4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4</v>
      </c>
      <c r="BJ135">
        <v>4</v>
      </c>
      <c r="BK135">
        <v>2.5209879316879702</v>
      </c>
      <c r="BL135">
        <v>110</v>
      </c>
      <c r="BM135">
        <v>24</v>
      </c>
      <c r="BN135">
        <v>3.65259716656491</v>
      </c>
      <c r="BO135">
        <v>26916.926232279598</v>
      </c>
      <c r="BP135" t="s">
        <v>796</v>
      </c>
      <c r="BQ135" t="str">
        <f>SUBSTITUTE(SUBSTITUTE(SUBSTITUTE(SUBSTITUTE(SUBSTITUTE(SUBSTITUTE(SUBSTITUTE(I135,"[",""),"]",""),"'",""),"M1-LOD-KS","לוד-כפרסבא (מטרו)"),"M1-KS-LOD","כפר סבא-לוד (מטרו)"),"M1-RA-RE","רעננה-רחובות (מטרו)"),"M1-RE-RA","רחובות-רעננה (מטרו)")</f>
        <v>אשקלון-קרית גת (ורוד) (BRT), אשקלון-אשדוד (כתום) (רק"ל), קרית גת-אשקלון (ורוד) (BRT), אשדוד-אשקלון (כתום) (רק"ל)</v>
      </c>
      <c r="BR135">
        <f>IF($AP135="ארצי",COUNTIFS($AP$2:$AP$143,"ארצי",$BK$2:$BK$143,"&gt;"&amp;$BK135)+1,COUNTIFS($AP$2:$AP$143,$AP135,$L$2:$L$143,$L135,$BK$2:$BK$143,"&gt;"&amp;$BK135)+1)</f>
        <v>4</v>
      </c>
    </row>
    <row r="136" spans="1:70" x14ac:dyDescent="0.25">
      <c r="A136">
        <v>841</v>
      </c>
      <c r="B136">
        <v>34.586051758896303</v>
      </c>
      <c r="C136">
        <v>31.673984559407</v>
      </c>
      <c r="D136" t="s">
        <v>558</v>
      </c>
      <c r="E136" t="s">
        <v>559</v>
      </c>
      <c r="F136" t="s">
        <v>232</v>
      </c>
      <c r="G136" t="s">
        <v>233</v>
      </c>
      <c r="H136" t="s">
        <v>560</v>
      </c>
      <c r="I136" t="s">
        <v>561</v>
      </c>
      <c r="J136" t="s">
        <v>74</v>
      </c>
      <c r="K136" t="s">
        <v>276</v>
      </c>
      <c r="L136" t="s">
        <v>276</v>
      </c>
      <c r="M136" t="s">
        <v>277</v>
      </c>
      <c r="N136" t="s">
        <v>278</v>
      </c>
      <c r="O136">
        <v>6283.1231275</v>
      </c>
      <c r="P136">
        <v>0</v>
      </c>
      <c r="Q136">
        <v>0</v>
      </c>
      <c r="R136">
        <v>2</v>
      </c>
      <c r="S136">
        <v>0</v>
      </c>
      <c r="T136">
        <v>0</v>
      </c>
      <c r="U136">
        <v>0</v>
      </c>
      <c r="V136">
        <v>0</v>
      </c>
      <c r="W136">
        <v>2</v>
      </c>
      <c r="X136">
        <v>0</v>
      </c>
      <c r="Y136">
        <v>0</v>
      </c>
      <c r="Z136">
        <v>10706.765738640001</v>
      </c>
      <c r="AA136">
        <v>2477.66045516842</v>
      </c>
      <c r="AB136">
        <v>22892.462395055401</v>
      </c>
      <c r="AC136">
        <v>5926.9134811654503</v>
      </c>
      <c r="AD136">
        <v>15713.8749619382</v>
      </c>
      <c r="AE136">
        <v>4292.2692898626901</v>
      </c>
      <c r="AF136">
        <v>49313.103095633604</v>
      </c>
      <c r="AG136">
        <v>12696.843226196501</v>
      </c>
      <c r="AH136">
        <v>1</v>
      </c>
      <c r="AI136">
        <v>1</v>
      </c>
      <c r="AJ136">
        <v>1</v>
      </c>
      <c r="AK136">
        <v>2</v>
      </c>
      <c r="AL136">
        <v>19.8</v>
      </c>
      <c r="AM136">
        <v>0</v>
      </c>
      <c r="AN136" t="s">
        <v>140</v>
      </c>
      <c r="AO136" t="b">
        <v>0</v>
      </c>
      <c r="AP136" t="s">
        <v>140</v>
      </c>
      <c r="AQ136">
        <v>0</v>
      </c>
      <c r="AR136">
        <v>4</v>
      </c>
      <c r="AS136">
        <v>1.2516238350748301</v>
      </c>
      <c r="AT136">
        <v>1</v>
      </c>
      <c r="AU136">
        <v>4.4387573650898799</v>
      </c>
      <c r="AV136">
        <v>2.9869892512282199</v>
      </c>
      <c r="AW136">
        <v>2.8446760434760701</v>
      </c>
      <c r="AX136">
        <v>91</v>
      </c>
      <c r="AY136">
        <v>17</v>
      </c>
      <c r="AZ136">
        <v>4</v>
      </c>
      <c r="BA136">
        <v>0</v>
      </c>
      <c r="BB136">
        <v>0</v>
      </c>
      <c r="BC136">
        <v>4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4</v>
      </c>
      <c r="BJ136">
        <v>4</v>
      </c>
      <c r="BK136">
        <v>2.8446760434760701</v>
      </c>
      <c r="BL136">
        <v>91</v>
      </c>
      <c r="BM136">
        <v>17</v>
      </c>
      <c r="BN136">
        <v>3.7981755704703302</v>
      </c>
      <c r="BO136">
        <v>41989.8511217462</v>
      </c>
      <c r="BP136" t="s">
        <v>799</v>
      </c>
      <c r="BQ136" t="str">
        <f>SUBSTITUTE(SUBSTITUTE(SUBSTITUTE(SUBSTITUTE(SUBSTITUTE(SUBSTITUTE(SUBSTITUTE(I136,"[",""),"]",""),"'",""),"M1-LOD-KS","לוד-כפרסבא (מטרו)"),"M1-KS-LOD","כפר סבא-לוד (מטרו)"),"M1-RA-RE","רעננה-רחובות (מטרו)"),"M1-RE-RA","רחובות-רעננה (מטרו)")</f>
        <v>קרית גת-אשקלון (כחול) (BRT), אשקלון-אשדוד (כתום) (רק"ל), אשקלון-קרית גת (כחול) (BRT), אשדוד-אשקלון (כתום) (רק"ל)</v>
      </c>
      <c r="BR136">
        <f>IF($AP136="ארצי",COUNTIFS($AP$2:$AP$143,"ארצי",$BK$2:$BK$143,"&gt;"&amp;$BK136)+1,COUNTIFS($AP$2:$AP$143,$AP136,$L$2:$L$143,$L136,$BK$2:$BK$143,"&gt;"&amp;$BK136)+1)</f>
        <v>2</v>
      </c>
    </row>
    <row r="137" spans="1:70" x14ac:dyDescent="0.25">
      <c r="A137">
        <v>124</v>
      </c>
      <c r="B137">
        <v>34.853605147549203</v>
      </c>
      <c r="C137">
        <v>32.148784794427399</v>
      </c>
      <c r="D137" t="s">
        <v>766</v>
      </c>
      <c r="E137" t="s">
        <v>767</v>
      </c>
      <c r="F137" t="s">
        <v>313</v>
      </c>
      <c r="G137" t="s">
        <v>314</v>
      </c>
      <c r="H137" t="s">
        <v>479</v>
      </c>
      <c r="I137" t="s">
        <v>480</v>
      </c>
      <c r="J137" t="s">
        <v>74</v>
      </c>
      <c r="K137" t="s">
        <v>75</v>
      </c>
      <c r="L137" t="s">
        <v>75</v>
      </c>
      <c r="M137" t="s">
        <v>139</v>
      </c>
      <c r="N137" t="s">
        <v>132</v>
      </c>
      <c r="O137">
        <v>13736.7</v>
      </c>
      <c r="P137">
        <v>3386.61</v>
      </c>
      <c r="Q137">
        <v>0.246537377972875</v>
      </c>
      <c r="R137">
        <v>2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2</v>
      </c>
      <c r="Y137">
        <v>0</v>
      </c>
      <c r="Z137">
        <v>17275.340508188201</v>
      </c>
      <c r="AA137">
        <v>7285.8085591991103</v>
      </c>
      <c r="AB137">
        <v>23854.639170484199</v>
      </c>
      <c r="AC137">
        <v>10739.7277321859</v>
      </c>
      <c r="AD137">
        <v>16006.5797817154</v>
      </c>
      <c r="AE137">
        <v>7202.9926438918201</v>
      </c>
      <c r="AF137">
        <v>57136.5594603879</v>
      </c>
      <c r="AG137">
        <v>25228.528935276801</v>
      </c>
      <c r="AH137">
        <v>0</v>
      </c>
      <c r="AI137">
        <v>2</v>
      </c>
      <c r="AJ137">
        <v>0</v>
      </c>
      <c r="AK137">
        <v>2</v>
      </c>
      <c r="AL137">
        <v>22</v>
      </c>
      <c r="AM137">
        <v>0</v>
      </c>
      <c r="AN137" t="s">
        <v>103</v>
      </c>
      <c r="AO137" t="b">
        <v>0</v>
      </c>
      <c r="AP137" t="s">
        <v>103</v>
      </c>
      <c r="AQ137">
        <v>0</v>
      </c>
      <c r="AR137">
        <v>1</v>
      </c>
      <c r="AS137">
        <v>1.30754024286924</v>
      </c>
      <c r="AT137">
        <v>1</v>
      </c>
      <c r="AU137">
        <v>3.1707180855075401</v>
      </c>
      <c r="AV137">
        <v>2.48768037971894</v>
      </c>
      <c r="AW137">
        <v>1.80477740902106</v>
      </c>
      <c r="AX137">
        <v>141</v>
      </c>
      <c r="AY137">
        <v>65</v>
      </c>
      <c r="AZ137">
        <v>4</v>
      </c>
      <c r="BA137">
        <v>0</v>
      </c>
      <c r="BB137">
        <v>0</v>
      </c>
      <c r="BC137">
        <v>2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2</v>
      </c>
      <c r="BJ137">
        <v>4</v>
      </c>
      <c r="BK137">
        <v>1.80477740902106</v>
      </c>
      <c r="BL137">
        <v>141</v>
      </c>
      <c r="BM137">
        <v>65</v>
      </c>
      <c r="BN137">
        <v>4.1378824136606696</v>
      </c>
      <c r="BO137">
        <v>31610.135040298999</v>
      </c>
      <c r="BP137" t="s">
        <v>768</v>
      </c>
      <c r="BQ137" t="str">
        <f>SUBSTITUTE(SUBSTITUTE(SUBSTITUTE(SUBSTITUTE(SUBSTITUTE(SUBSTITUTE(SUBSTITUTE(I137,"[",""),"]",""),"'",""),"M1-LOD-KS","לוד-כפרסבא (מטרו)"),"M1-KS-LOD","כפר סבא-לוד (מטרו)"),"M1-RA-RE","רעננה-רחובות (מטרו)"),"M1-RE-RA","רחובות-רעננה (מטרו)")</f>
        <v>לוד-כפרסבא (מטרו), רצועת הנופש-צומת חולון (BRT), צומת חולון-רצועת הנופש (BRT), כפר סבא-לוד (מטרו)</v>
      </c>
      <c r="BR137">
        <f>IF($AP137="ארצי",COUNTIFS($AP$2:$AP$143,"ארצי",$BK$2:$BK$143,"&gt;"&amp;$BK137)+1,COUNTIFS($AP$2:$AP$143,$AP137,$L$2:$L$143,$L137,$BK$2:$BK$143,"&gt;"&amp;$BK137)+1)</f>
        <v>48</v>
      </c>
    </row>
    <row r="138" spans="1:70" x14ac:dyDescent="0.25">
      <c r="A138">
        <v>448</v>
      </c>
      <c r="B138">
        <v>34.855768122042001</v>
      </c>
      <c r="C138">
        <v>32.053649423888601</v>
      </c>
      <c r="D138" t="s">
        <v>769</v>
      </c>
      <c r="E138" t="s">
        <v>770</v>
      </c>
      <c r="F138" t="s">
        <v>202</v>
      </c>
      <c r="G138" t="s">
        <v>203</v>
      </c>
      <c r="H138" t="s">
        <v>576</v>
      </c>
      <c r="I138" t="s">
        <v>577</v>
      </c>
      <c r="J138" t="s">
        <v>74</v>
      </c>
      <c r="K138" t="s">
        <v>75</v>
      </c>
      <c r="L138" t="s">
        <v>75</v>
      </c>
      <c r="M138" t="s">
        <v>139</v>
      </c>
      <c r="N138" t="s">
        <v>132</v>
      </c>
      <c r="O138">
        <v>11866.07</v>
      </c>
      <c r="P138">
        <v>4142.6899999999996</v>
      </c>
      <c r="Q138">
        <v>0.34912064398743597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2</v>
      </c>
      <c r="X138">
        <v>2</v>
      </c>
      <c r="Y138">
        <v>0</v>
      </c>
      <c r="Z138">
        <v>13530.3667869615</v>
      </c>
      <c r="AA138">
        <v>5996.6473368646502</v>
      </c>
      <c r="AB138">
        <v>25237.7847376264</v>
      </c>
      <c r="AC138">
        <v>13069.5899030705</v>
      </c>
      <c r="AD138">
        <v>16343.262570407</v>
      </c>
      <c r="AE138">
        <v>8319.7422503718499</v>
      </c>
      <c r="AF138">
        <v>55111.414094995002</v>
      </c>
      <c r="AG138">
        <v>27385.979490307102</v>
      </c>
      <c r="AH138">
        <v>0</v>
      </c>
      <c r="AI138">
        <v>2</v>
      </c>
      <c r="AJ138">
        <v>0</v>
      </c>
      <c r="AK138">
        <v>2</v>
      </c>
      <c r="AL138">
        <v>24.2</v>
      </c>
      <c r="AM138">
        <v>0</v>
      </c>
      <c r="AN138" t="s">
        <v>103</v>
      </c>
      <c r="AO138" t="b">
        <v>0</v>
      </c>
      <c r="AP138" t="s">
        <v>103</v>
      </c>
      <c r="AQ138">
        <v>0</v>
      </c>
      <c r="AR138">
        <v>1</v>
      </c>
      <c r="AS138">
        <v>1.3634566506636501</v>
      </c>
      <c r="AT138">
        <v>1</v>
      </c>
      <c r="AU138">
        <v>2.8479900765326001</v>
      </c>
      <c r="AV138">
        <v>2.55122284533098</v>
      </c>
      <c r="AW138">
        <v>1.73092237518692</v>
      </c>
      <c r="AX138">
        <v>142</v>
      </c>
      <c r="AY138">
        <v>66</v>
      </c>
      <c r="AZ138">
        <v>4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2</v>
      </c>
      <c r="BG138">
        <v>0</v>
      </c>
      <c r="BH138">
        <v>0</v>
      </c>
      <c r="BI138">
        <v>2</v>
      </c>
      <c r="BJ138">
        <v>4</v>
      </c>
      <c r="BK138">
        <v>1.73092237518692</v>
      </c>
      <c r="BL138">
        <v>142</v>
      </c>
      <c r="BM138">
        <v>66</v>
      </c>
      <c r="BN138">
        <v>4.0743069059872798</v>
      </c>
      <c r="BO138">
        <v>32931.066411244603</v>
      </c>
      <c r="BP138" t="s">
        <v>771</v>
      </c>
      <c r="BQ138" t="str">
        <f>SUBSTITUTE(SUBSTITUTE(SUBSTITUTE(SUBSTITUTE(SUBSTITUTE(SUBSTITUTE(SUBSTITUTE(I138,"[",""),"]",""),"'",""),"M1-LOD-KS","לוד-כפרסבא (מטרו)"),"M1-KS-LOD","כפר סבא-לוד (מטרו)"),"M1-RA-RE","רעננה-רחובות (מטרו)"),"M1-RE-RA","רחובות-רעננה (מטרו)")</f>
        <v>צומת בילו-צומת רעננה (רק"ל), צומת רעננה-צומת בילו (רק"ל), הרצליה-בת ים (מטרו), בת ים-הרצליה (מטרו)</v>
      </c>
      <c r="BR138">
        <f>IF($AP138="ארצי",COUNTIFS($AP$2:$AP$143,"ארצי",$BK$2:$BK$143,"&gt;"&amp;$BK138)+1,COUNTIFS($AP$2:$AP$143,$AP138,$L$2:$L$143,$L138,$BK$2:$BK$143,"&gt;"&amp;$BK138)+1)</f>
        <v>49</v>
      </c>
    </row>
    <row r="139" spans="1:70" x14ac:dyDescent="0.25">
      <c r="A139">
        <v>844</v>
      </c>
      <c r="B139">
        <v>34.593563552746097</v>
      </c>
      <c r="C139">
        <v>31.676852584000201</v>
      </c>
      <c r="D139" t="s">
        <v>595</v>
      </c>
      <c r="E139" t="s">
        <v>596</v>
      </c>
      <c r="F139" t="s">
        <v>232</v>
      </c>
      <c r="G139" t="s">
        <v>233</v>
      </c>
      <c r="H139" t="s">
        <v>560</v>
      </c>
      <c r="I139" t="s">
        <v>561</v>
      </c>
      <c r="J139" t="s">
        <v>74</v>
      </c>
      <c r="K139" t="s">
        <v>276</v>
      </c>
      <c r="L139" t="s">
        <v>276</v>
      </c>
      <c r="M139" t="s">
        <v>277</v>
      </c>
      <c r="N139" t="s">
        <v>278</v>
      </c>
      <c r="O139">
        <v>6380.7128479000003</v>
      </c>
      <c r="P139">
        <v>0</v>
      </c>
      <c r="Q139">
        <v>0</v>
      </c>
      <c r="R139">
        <v>2</v>
      </c>
      <c r="S139">
        <v>0</v>
      </c>
      <c r="T139">
        <v>0</v>
      </c>
      <c r="U139">
        <v>0</v>
      </c>
      <c r="V139">
        <v>0</v>
      </c>
      <c r="W139">
        <v>2</v>
      </c>
      <c r="X139">
        <v>0</v>
      </c>
      <c r="Y139">
        <v>0</v>
      </c>
      <c r="Z139">
        <v>7966.6547979930501</v>
      </c>
      <c r="AA139">
        <v>4690.9176069761297</v>
      </c>
      <c r="AB139">
        <v>16182.4267265538</v>
      </c>
      <c r="AC139">
        <v>6440.9194087178903</v>
      </c>
      <c r="AD139">
        <v>12004.331323013101</v>
      </c>
      <c r="AE139">
        <v>4474.1783887124802</v>
      </c>
      <c r="AF139">
        <v>36153.412847560001</v>
      </c>
      <c r="AG139">
        <v>15606.0154044065</v>
      </c>
      <c r="AH139">
        <v>1</v>
      </c>
      <c r="AI139">
        <v>1</v>
      </c>
      <c r="AJ139">
        <v>1</v>
      </c>
      <c r="AK139">
        <v>2</v>
      </c>
      <c r="AL139">
        <v>19.8</v>
      </c>
      <c r="AM139">
        <v>0</v>
      </c>
      <c r="AN139" t="s">
        <v>140</v>
      </c>
      <c r="AO139" t="b">
        <v>0</v>
      </c>
      <c r="AP139" t="s">
        <v>140</v>
      </c>
      <c r="AQ139">
        <v>0</v>
      </c>
      <c r="AR139">
        <v>4</v>
      </c>
      <c r="AS139">
        <v>1.2516238350748301</v>
      </c>
      <c r="AT139">
        <v>1</v>
      </c>
      <c r="AU139">
        <v>4.47156994166322</v>
      </c>
      <c r="AV139">
        <v>2.50854793979846</v>
      </c>
      <c r="AW139">
        <v>2.7229060018007898</v>
      </c>
      <c r="AX139">
        <v>100</v>
      </c>
      <c r="AY139">
        <v>21</v>
      </c>
      <c r="AZ139">
        <v>4</v>
      </c>
      <c r="BA139">
        <v>0</v>
      </c>
      <c r="BB139">
        <v>0</v>
      </c>
      <c r="BC139">
        <v>4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4</v>
      </c>
      <c r="BJ139">
        <v>4</v>
      </c>
      <c r="BK139">
        <v>2.7229060018007898</v>
      </c>
      <c r="BL139">
        <v>100</v>
      </c>
      <c r="BM139">
        <v>21</v>
      </c>
      <c r="BN139">
        <v>3.80486920044771</v>
      </c>
      <c r="BO139">
        <v>32043.933358929298</v>
      </c>
      <c r="BP139" t="s">
        <v>800</v>
      </c>
      <c r="BQ139" t="str">
        <f>SUBSTITUTE(SUBSTITUTE(SUBSTITUTE(SUBSTITUTE(SUBSTITUTE(SUBSTITUTE(SUBSTITUTE(I139,"[",""),"]",""),"'",""),"M1-LOD-KS","לוד-כפרסבא (מטרו)"),"M1-KS-LOD","כפר סבא-לוד (מטרו)"),"M1-RA-RE","רעננה-רחובות (מטרו)"),"M1-RE-RA","רחובות-רעננה (מטרו)")</f>
        <v>קרית גת-אשקלון (כחול) (BRT), אשקלון-אשדוד (כתום) (רק"ל), אשקלון-קרית גת (כחול) (BRT), אשדוד-אשקלון (כתום) (רק"ל)</v>
      </c>
      <c r="BR139">
        <f>IF($AP139="ארצי",COUNTIFS($AP$2:$AP$143,"ארצי",$BK$2:$BK$143,"&gt;"&amp;$BK139)+1,COUNTIFS($AP$2:$AP$143,$AP139,$L$2:$L$143,$L139,$BK$2:$BK$143,"&gt;"&amp;$BK139)+1)</f>
        <v>3</v>
      </c>
    </row>
    <row r="140" spans="1:70" x14ac:dyDescent="0.25">
      <c r="A140">
        <v>846</v>
      </c>
      <c r="B140">
        <v>34.5769241727793</v>
      </c>
      <c r="C140">
        <v>31.676170582143701</v>
      </c>
      <c r="D140" t="s">
        <v>492</v>
      </c>
      <c r="E140" t="s">
        <v>489</v>
      </c>
      <c r="F140" t="s">
        <v>127</v>
      </c>
      <c r="G140" t="s">
        <v>128</v>
      </c>
      <c r="H140" t="s">
        <v>490</v>
      </c>
      <c r="I140" t="s">
        <v>491</v>
      </c>
      <c r="J140" t="s">
        <v>74</v>
      </c>
      <c r="K140" t="s">
        <v>276</v>
      </c>
      <c r="L140" t="s">
        <v>276</v>
      </c>
      <c r="M140" t="s">
        <v>277</v>
      </c>
      <c r="N140" t="s">
        <v>278</v>
      </c>
      <c r="O140">
        <v>9969.9888076900006</v>
      </c>
      <c r="P140">
        <v>0</v>
      </c>
      <c r="Q140">
        <v>0</v>
      </c>
      <c r="R140">
        <v>2</v>
      </c>
      <c r="S140">
        <v>0</v>
      </c>
      <c r="T140">
        <v>0</v>
      </c>
      <c r="U140">
        <v>0</v>
      </c>
      <c r="V140">
        <v>0</v>
      </c>
      <c r="W140">
        <v>2</v>
      </c>
      <c r="X140">
        <v>0</v>
      </c>
      <c r="Y140">
        <v>0</v>
      </c>
      <c r="Z140">
        <v>13948.477250669999</v>
      </c>
      <c r="AA140">
        <v>2328.17283428783</v>
      </c>
      <c r="AB140">
        <v>25270.426216967098</v>
      </c>
      <c r="AC140">
        <v>4564.9119140572602</v>
      </c>
      <c r="AD140">
        <v>16614.396933953401</v>
      </c>
      <c r="AE140">
        <v>2931.54636356742</v>
      </c>
      <c r="AF140">
        <v>55833.300401590503</v>
      </c>
      <c r="AG140">
        <v>9824.6311119125203</v>
      </c>
      <c r="AH140">
        <v>1</v>
      </c>
      <c r="AI140">
        <v>1</v>
      </c>
      <c r="AJ140">
        <v>1</v>
      </c>
      <c r="AK140">
        <v>2</v>
      </c>
      <c r="AL140">
        <v>19.8</v>
      </c>
      <c r="AM140">
        <v>0</v>
      </c>
      <c r="AN140" t="s">
        <v>140</v>
      </c>
      <c r="AO140" t="b">
        <v>0</v>
      </c>
      <c r="AP140" t="s">
        <v>140</v>
      </c>
      <c r="AQ140">
        <v>0</v>
      </c>
      <c r="AR140">
        <v>4</v>
      </c>
      <c r="AS140">
        <v>1.2516238350748301</v>
      </c>
      <c r="AT140">
        <v>1</v>
      </c>
      <c r="AU140">
        <v>5.4217140500767496</v>
      </c>
      <c r="AV140">
        <v>3.2102756755383299</v>
      </c>
      <c r="AW140">
        <v>3.16450196620952</v>
      </c>
      <c r="AX140">
        <v>75</v>
      </c>
      <c r="AY140">
        <v>11</v>
      </c>
      <c r="AZ140">
        <v>4</v>
      </c>
      <c r="BA140">
        <v>0</v>
      </c>
      <c r="BB140">
        <v>0</v>
      </c>
      <c r="BC140">
        <v>4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4</v>
      </c>
      <c r="BJ140">
        <v>4</v>
      </c>
      <c r="BK140">
        <v>3.16450196620952</v>
      </c>
      <c r="BL140">
        <v>75</v>
      </c>
      <c r="BM140">
        <v>11</v>
      </c>
      <c r="BN140">
        <v>3.9986946707729101</v>
      </c>
      <c r="BO140">
        <v>46631.566543654902</v>
      </c>
      <c r="BP140" t="s">
        <v>798</v>
      </c>
      <c r="BQ140" t="str">
        <f>SUBSTITUTE(SUBSTITUTE(SUBSTITUTE(SUBSTITUTE(SUBSTITUTE(SUBSTITUTE(SUBSTITUTE(I140,"[",""),"]",""),"'",""),"M1-LOD-KS","לוד-כפרסבא (מטרו)"),"M1-KS-LOD","כפר סבא-לוד (מטרו)"),"M1-RA-RE","רעננה-רחובות (מטרו)"),"M1-RE-RA","רחובות-רעננה (מטרו)")</f>
        <v>אשקלון-אשדוד (כתום) (רק"ל), אשדוד-אשקלון (כתום) (רק"ל), אשקלון-קרית גת (כחול) (BRT), קרית גת-אשקלון (כחול) (BRT)</v>
      </c>
      <c r="BR140">
        <f>IF($AP140="ארצי",COUNTIFS($AP$2:$AP$143,"ארצי",$BK$2:$BK$143,"&gt;"&amp;$BK140)+1,COUNTIFS($AP$2:$AP$143,$AP140,$L$2:$L$143,$L140,$BK$2:$BK$143,"&gt;"&amp;$BK140)+1)</f>
        <v>1</v>
      </c>
    </row>
    <row r="141" spans="1:70" x14ac:dyDescent="0.25">
      <c r="A141">
        <v>877</v>
      </c>
      <c r="B141">
        <v>34.547903429682201</v>
      </c>
      <c r="C141">
        <v>31.639444956432701</v>
      </c>
      <c r="D141" t="s">
        <v>699</v>
      </c>
      <c r="E141" t="s">
        <v>700</v>
      </c>
      <c r="F141" t="s">
        <v>127</v>
      </c>
      <c r="G141" t="s">
        <v>128</v>
      </c>
      <c r="H141" t="s">
        <v>701</v>
      </c>
      <c r="I141" t="s">
        <v>702</v>
      </c>
      <c r="J141" t="s">
        <v>74</v>
      </c>
      <c r="K141" t="s">
        <v>276</v>
      </c>
      <c r="L141" t="s">
        <v>276</v>
      </c>
      <c r="M141" t="s">
        <v>277</v>
      </c>
      <c r="N141" t="s">
        <v>278</v>
      </c>
      <c r="O141">
        <v>5155.3905206999998</v>
      </c>
      <c r="P141">
        <v>0</v>
      </c>
      <c r="Q141">
        <v>0</v>
      </c>
      <c r="R141">
        <v>1</v>
      </c>
      <c r="S141">
        <v>0</v>
      </c>
      <c r="T141">
        <v>0</v>
      </c>
      <c r="U141">
        <v>0</v>
      </c>
      <c r="V141">
        <v>0</v>
      </c>
      <c r="W141">
        <v>4</v>
      </c>
      <c r="X141">
        <v>0</v>
      </c>
      <c r="Y141">
        <v>0</v>
      </c>
      <c r="Z141">
        <v>376.74776075672901</v>
      </c>
      <c r="AA141">
        <v>1321.5120983336401</v>
      </c>
      <c r="AB141">
        <v>1954.4912937680999</v>
      </c>
      <c r="AC141">
        <v>2414.25693122649</v>
      </c>
      <c r="AD141">
        <v>2631.2116467491901</v>
      </c>
      <c r="AE141">
        <v>1778.0402584978101</v>
      </c>
      <c r="AF141">
        <v>4962.4507012740296</v>
      </c>
      <c r="AG141">
        <v>5513.8092880579497</v>
      </c>
      <c r="AH141">
        <v>1</v>
      </c>
      <c r="AI141">
        <v>1</v>
      </c>
      <c r="AJ141">
        <v>1</v>
      </c>
      <c r="AK141">
        <v>2</v>
      </c>
      <c r="AL141">
        <v>26.4</v>
      </c>
      <c r="AM141">
        <v>0</v>
      </c>
      <c r="AN141" t="s">
        <v>140</v>
      </c>
      <c r="AO141" t="b">
        <v>0</v>
      </c>
      <c r="AP141" t="s">
        <v>140</v>
      </c>
      <c r="AQ141">
        <v>0</v>
      </c>
      <c r="AR141">
        <v>4</v>
      </c>
      <c r="AS141">
        <v>1.4193730584580599</v>
      </c>
      <c r="AT141">
        <v>1</v>
      </c>
      <c r="AU141">
        <v>4.0176017630323004</v>
      </c>
      <c r="AV141">
        <v>1.2111169896484599</v>
      </c>
      <c r="AW141">
        <v>2.2833024220315599</v>
      </c>
      <c r="AX141">
        <v>123</v>
      </c>
      <c r="AY141">
        <v>29</v>
      </c>
      <c r="AZ141">
        <v>5</v>
      </c>
      <c r="BA141">
        <v>0</v>
      </c>
      <c r="BB141">
        <v>0</v>
      </c>
      <c r="BC141">
        <v>5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5</v>
      </c>
      <c r="BJ141">
        <v>5</v>
      </c>
      <c r="BK141">
        <v>2.2833024220315599</v>
      </c>
      <c r="BL141">
        <v>123</v>
      </c>
      <c r="BM141">
        <v>29</v>
      </c>
      <c r="BN141">
        <v>3.7122615686614902</v>
      </c>
      <c r="BO141">
        <v>5072.7224186308204</v>
      </c>
      <c r="BP141" t="s">
        <v>795</v>
      </c>
      <c r="BQ141" t="str">
        <f>SUBSTITUTE(SUBSTITUTE(SUBSTITUTE(SUBSTITUTE(SUBSTITUTE(SUBSTITUTE(SUBSTITUTE(I141,"[",""),"]",""),"'",""),"M1-LOD-KS","לוד-כפרסבא (מטרו)"),"M1-KS-LOD","כפר סבא-לוד (מטרו)"),"M1-RA-RE","רעננה-רחובות (מטרו)"),"M1-RE-RA","רחובות-רעננה (מטרו)")</f>
        <v>אשקלון-אשדוד (כתום) (רק"ל), אשדוד-אשקלון (אדום) (רק"ל), אשקלון-אשדוד (אדום) (רק"ל), אשדוד-אשקלון (כתום) (רק"ל), אשקלון-קרית גת (ורוד) (BRT)</v>
      </c>
      <c r="BR141">
        <f>IF($AP141="ארצי",COUNTIFS($AP$2:$AP$143,"ארצי",$BK$2:$BK$143,"&gt;"&amp;$BK141)+1,COUNTIFS($AP$2:$AP$143,$AP141,$L$2:$L$143,$L141,$BK$2:$BK$143,"&gt;"&amp;$BK141)+1)</f>
        <v>5</v>
      </c>
    </row>
    <row r="142" spans="1:70" x14ac:dyDescent="0.25">
      <c r="A142">
        <v>116</v>
      </c>
      <c r="B142">
        <v>34.889961653933497</v>
      </c>
      <c r="C142">
        <v>32.143750918579798</v>
      </c>
      <c r="D142" t="s">
        <v>778</v>
      </c>
      <c r="E142" t="s">
        <v>779</v>
      </c>
      <c r="F142" t="s">
        <v>313</v>
      </c>
      <c r="G142" t="s">
        <v>314</v>
      </c>
      <c r="H142" t="s">
        <v>479</v>
      </c>
      <c r="I142" t="s">
        <v>480</v>
      </c>
      <c r="J142" t="s">
        <v>74</v>
      </c>
      <c r="K142" t="s">
        <v>75</v>
      </c>
      <c r="L142" t="s">
        <v>75</v>
      </c>
      <c r="M142" t="s">
        <v>216</v>
      </c>
      <c r="N142" t="s">
        <v>132</v>
      </c>
      <c r="O142">
        <v>8184.44</v>
      </c>
      <c r="P142">
        <v>3227.74</v>
      </c>
      <c r="Q142">
        <v>0.39437518022002699</v>
      </c>
      <c r="R142">
        <v>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2</v>
      </c>
      <c r="Y142">
        <v>0</v>
      </c>
      <c r="Z142">
        <v>9545.8263686162209</v>
      </c>
      <c r="AA142">
        <v>3213.7520820210402</v>
      </c>
      <c r="AB142">
        <v>19853.866169077399</v>
      </c>
      <c r="AC142">
        <v>6701.7646868759603</v>
      </c>
      <c r="AD142">
        <v>13151.8128250384</v>
      </c>
      <c r="AE142">
        <v>5325.4049062389104</v>
      </c>
      <c r="AF142">
        <v>42551.505362732103</v>
      </c>
      <c r="AG142">
        <v>15240.9216751359</v>
      </c>
      <c r="AH142">
        <v>0</v>
      </c>
      <c r="AI142">
        <v>2</v>
      </c>
      <c r="AJ142">
        <v>0</v>
      </c>
      <c r="AK142">
        <v>2</v>
      </c>
      <c r="AL142">
        <v>22</v>
      </c>
      <c r="AM142">
        <v>0</v>
      </c>
      <c r="AN142" t="s">
        <v>103</v>
      </c>
      <c r="AO142" t="b">
        <v>0</v>
      </c>
      <c r="AP142" t="s">
        <v>103</v>
      </c>
      <c r="AQ142">
        <v>0</v>
      </c>
      <c r="AR142">
        <v>1</v>
      </c>
      <c r="AS142">
        <v>1.30754024286924</v>
      </c>
      <c r="AT142">
        <v>1</v>
      </c>
      <c r="AU142">
        <v>2.0290926985492899</v>
      </c>
      <c r="AV142">
        <v>1.9630022415253701</v>
      </c>
      <c r="AW142">
        <v>1.4351162664363599</v>
      </c>
      <c r="AX142">
        <v>146</v>
      </c>
      <c r="AY142">
        <v>70</v>
      </c>
      <c r="AZ142">
        <v>4</v>
      </c>
      <c r="BA142">
        <v>0</v>
      </c>
      <c r="BB142">
        <v>0</v>
      </c>
      <c r="BC142">
        <v>2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2</v>
      </c>
      <c r="BJ142">
        <v>4</v>
      </c>
      <c r="BK142">
        <v>1.4351162664363599</v>
      </c>
      <c r="BL142">
        <v>146</v>
      </c>
      <c r="BM142">
        <v>70</v>
      </c>
      <c r="BN142">
        <v>3.91298896924215</v>
      </c>
      <c r="BO142">
        <v>20703.0384126551</v>
      </c>
      <c r="BP142" t="s">
        <v>780</v>
      </c>
      <c r="BQ142" t="str">
        <f>SUBSTITUTE(SUBSTITUTE(SUBSTITUTE(SUBSTITUTE(SUBSTITUTE(SUBSTITUTE(SUBSTITUTE(I142,"[",""),"]",""),"'",""),"M1-LOD-KS","לוד-כפרסבא (מטרו)"),"M1-KS-LOD","כפר סבא-לוד (מטרו)"),"M1-RA-RE","רעננה-רחובות (מטרו)"),"M1-RE-RA","רחובות-רעננה (מטרו)")</f>
        <v>לוד-כפרסבא (מטרו), רצועת הנופש-צומת חולון (BRT), צומת חולון-רצועת הנופש (BRT), כפר סבא-לוד (מטרו)</v>
      </c>
      <c r="BR142">
        <f>IF($AP142="ארצי",COUNTIFS($AP$2:$AP$143,"ארצי",$BK$2:$BK$143,"&gt;"&amp;$BK142)+1,COUNTIFS($AP$2:$AP$143,$AP142,$L$2:$L$143,$L142,$BK$2:$BK$143,"&gt;"&amp;$BK142)+1)</f>
        <v>53</v>
      </c>
    </row>
    <row r="143" spans="1:70" x14ac:dyDescent="0.25">
      <c r="A143">
        <v>957</v>
      </c>
      <c r="B143">
        <v>34.777104558022799</v>
      </c>
      <c r="C143">
        <v>31.6045814776577</v>
      </c>
      <c r="D143" t="s">
        <v>270</v>
      </c>
      <c r="E143" t="s">
        <v>271</v>
      </c>
      <c r="F143" t="s">
        <v>272</v>
      </c>
      <c r="G143" t="s">
        <v>273</v>
      </c>
      <c r="H143" t="s">
        <v>274</v>
      </c>
      <c r="I143" t="s">
        <v>275</v>
      </c>
      <c r="J143" t="s">
        <v>74</v>
      </c>
      <c r="K143" t="s">
        <v>276</v>
      </c>
      <c r="L143" t="s">
        <v>276</v>
      </c>
      <c r="M143" t="s">
        <v>277</v>
      </c>
      <c r="N143" t="s">
        <v>278</v>
      </c>
      <c r="O143">
        <v>18124.014980799999</v>
      </c>
      <c r="P143">
        <v>0</v>
      </c>
      <c r="Q143">
        <v>0</v>
      </c>
      <c r="R143">
        <v>8.6666666666666607</v>
      </c>
      <c r="S143">
        <v>0</v>
      </c>
      <c r="T143">
        <v>0</v>
      </c>
      <c r="U143">
        <v>0</v>
      </c>
      <c r="V143">
        <v>4.6666666666666599</v>
      </c>
      <c r="W143">
        <v>0</v>
      </c>
      <c r="X143">
        <v>0</v>
      </c>
      <c r="Y143">
        <v>4.6666666666666599</v>
      </c>
      <c r="Z143">
        <v>5819.16428788759</v>
      </c>
      <c r="AA143">
        <v>6030.9744120019504</v>
      </c>
      <c r="AB143">
        <v>14034.095490301999</v>
      </c>
      <c r="AC143">
        <v>8626.1339442767603</v>
      </c>
      <c r="AD143">
        <v>9470.4930333879493</v>
      </c>
      <c r="AE143">
        <v>5134.0705799097004</v>
      </c>
      <c r="AF143">
        <v>29323.752811577499</v>
      </c>
      <c r="AG143">
        <v>19791.1789361884</v>
      </c>
      <c r="AH143">
        <v>1</v>
      </c>
      <c r="AI143">
        <v>1</v>
      </c>
      <c r="AJ143">
        <v>1</v>
      </c>
      <c r="AK143">
        <v>3</v>
      </c>
      <c r="AL143">
        <v>114.4</v>
      </c>
      <c r="AM143">
        <v>2</v>
      </c>
      <c r="AN143" t="s">
        <v>103</v>
      </c>
      <c r="AO143" t="b">
        <v>0</v>
      </c>
      <c r="AP143" t="s">
        <v>103</v>
      </c>
      <c r="AQ143">
        <v>2</v>
      </c>
      <c r="AR143">
        <v>4</v>
      </c>
      <c r="AS143">
        <v>3.65602937023439</v>
      </c>
      <c r="AT143">
        <v>7</v>
      </c>
      <c r="AU143">
        <v>3.7817618181945498</v>
      </c>
      <c r="AV143">
        <v>2.0108494283648999</v>
      </c>
      <c r="AW143">
        <v>4.54319389979824</v>
      </c>
      <c r="AX143">
        <v>33</v>
      </c>
      <c r="AY143">
        <v>10</v>
      </c>
      <c r="AZ143">
        <v>18</v>
      </c>
      <c r="BA143">
        <v>0</v>
      </c>
      <c r="BB143">
        <v>0</v>
      </c>
      <c r="BC143">
        <v>4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4</v>
      </c>
      <c r="BJ143">
        <v>18</v>
      </c>
      <c r="BK143">
        <v>4.54319389979824</v>
      </c>
      <c r="BL143">
        <v>33</v>
      </c>
      <c r="BM143">
        <v>10</v>
      </c>
      <c r="BN143">
        <v>4.2582544124828701</v>
      </c>
      <c r="BO143">
        <v>21697.693711266202</v>
      </c>
      <c r="BP143" t="s">
        <v>801</v>
      </c>
      <c r="BQ143" t="str">
        <f>SUBSTITUTE(SUBSTITUTE(SUBSTITUTE(SUBSTITUTE(SUBSTITUTE(SUBSTITUTE(SUBSTITUTE(I143,"[",""),"]",""),"'",""),"M1-LOD-KS","לוד-כפרסבא (מטרו)"),"M1-KS-LOD","כפר סבא-לוד (מטרו)"),"M1-RA-RE","רעננה-רחובות (מטרו)"),"M1-RE-RA","רחובות-רעננה (מטרו)")</f>
        <v>באר שבע-עכו (רכבת בינעירונית), שוקת-חדרה (רכבת פרברית), עכו-באר שבע (רכבת בינעירונית), קרית גת-אשקלון (ורוד) (BRT), אשקלון-קרית גת (ורוד) (BRT), אשקלון-קרית גת (כחול) (BRT), באר שבע-ראש העין (רכבת פרברית), נהריה-באר שבע (רכבת בינעירונית), ראש העין-באר שבע (רכבת פרברית), חדרה-שוקת (רכבת פרברית), באר שבע-ירושלים (רכבת בינעירונית), קרית גת-אשקלון (כחול) (BRT), ירושלים-באר שבע (רכבת בינעירונית), באר שבע-נהריה (רכבת בינעירונית)</v>
      </c>
      <c r="BR143">
        <f>IF($AP143="ארצי",COUNTIFS($AP$2:$AP$143,"ארצי",$BK$2:$BK$143,"&gt;"&amp;$BK143)+1,COUNTIFS($AP$2:$AP$143,$AP143,$L$2:$L$143,$L143,$BK$2:$BK$143,"&gt;"&amp;$BK143)+1)</f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hubs_final_results_20260618_114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Ohad Dahan</cp:lastModifiedBy>
  <dcterms:created xsi:type="dcterms:W3CDTF">2026-06-18T12:01:46Z</dcterms:created>
  <dcterms:modified xsi:type="dcterms:W3CDTF">2026-06-18T12:12:38Z</dcterms:modified>
</cp:coreProperties>
</file>